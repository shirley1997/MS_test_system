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Master_Winfo\MA_Supply_chain_security\MS_test_system\sub-RQ1_result\analysis\"/>
    </mc:Choice>
  </mc:AlternateContent>
  <xr:revisionPtr revIDLastSave="0" documentId="13_ncr:1_{352EBEDA-C432-4507-BD2F-8EE2C97921FB}" xr6:coauthVersionLast="47" xr6:coauthVersionMax="47" xr10:uidLastSave="{00000000-0000-0000-0000-000000000000}"/>
  <bookViews>
    <workbookView xWindow="-108" yWindow="-108" windowWidth="23256" windowHeight="12576" activeTab="2" xr2:uid="{482212B2-0356-4914-B53B-8802B28615EB}"/>
  </bookViews>
  <sheets>
    <sheet name="results" sheetId="2" r:id="rId1"/>
    <sheet name="FigureC" sheetId="1" r:id="rId2"/>
    <sheet name="step9" sheetId="3" r:id="rId3"/>
    <sheet name="Tabelle1" sheetId="4" r:id="rId4"/>
  </sheets>
  <definedNames>
    <definedName name="_xlnm._FilterDatabase" localSheetId="2" hidden="1">step9!$A$1:$R$145</definedName>
    <definedName name="ExterneDaten_1" localSheetId="0" hidden="1">'results'!$A$1:$Q$433</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2" i="2" l="1"/>
  <c r="T37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E3" i="3"/>
  <c r="F3" i="3"/>
  <c r="G3" i="3"/>
  <c r="E4" i="3"/>
  <c r="F4" i="3"/>
  <c r="G4" i="3"/>
  <c r="E5" i="3"/>
  <c r="F5" i="3"/>
  <c r="G5" i="3"/>
  <c r="E6" i="3"/>
  <c r="F6" i="3"/>
  <c r="G6" i="3"/>
  <c r="J6" i="3" s="1"/>
  <c r="E7" i="3"/>
  <c r="F7" i="3"/>
  <c r="G7" i="3"/>
  <c r="E8" i="3"/>
  <c r="F8" i="3"/>
  <c r="G8" i="3"/>
  <c r="E9" i="3"/>
  <c r="F9" i="3"/>
  <c r="G9" i="3"/>
  <c r="E10" i="3"/>
  <c r="F10" i="3"/>
  <c r="G10" i="3"/>
  <c r="E11" i="3"/>
  <c r="F11" i="3"/>
  <c r="G11" i="3"/>
  <c r="E12" i="3"/>
  <c r="F12" i="3"/>
  <c r="G12" i="3"/>
  <c r="E13" i="3"/>
  <c r="F13" i="3"/>
  <c r="G13" i="3"/>
  <c r="E14" i="3"/>
  <c r="F14" i="3"/>
  <c r="G14" i="3"/>
  <c r="E15" i="3"/>
  <c r="F15" i="3"/>
  <c r="G15" i="3"/>
  <c r="E16" i="3"/>
  <c r="F16" i="3"/>
  <c r="G16" i="3"/>
  <c r="E17" i="3"/>
  <c r="F17" i="3"/>
  <c r="G17" i="3"/>
  <c r="E18" i="3"/>
  <c r="F18" i="3"/>
  <c r="G18" i="3"/>
  <c r="J18" i="3" s="1"/>
  <c r="E19" i="3"/>
  <c r="F19" i="3"/>
  <c r="G19" i="3"/>
  <c r="E20" i="3"/>
  <c r="F20" i="3"/>
  <c r="G20" i="3"/>
  <c r="E21" i="3"/>
  <c r="F21" i="3"/>
  <c r="G21" i="3"/>
  <c r="E22" i="3"/>
  <c r="F22" i="3"/>
  <c r="G22" i="3"/>
  <c r="J22" i="3" s="1"/>
  <c r="E23" i="3"/>
  <c r="F23" i="3"/>
  <c r="G23" i="3"/>
  <c r="E24" i="3"/>
  <c r="F24" i="3"/>
  <c r="G24" i="3"/>
  <c r="E25" i="3"/>
  <c r="F25" i="3"/>
  <c r="G25" i="3"/>
  <c r="E26" i="3"/>
  <c r="F26" i="3"/>
  <c r="G26" i="3"/>
  <c r="E27" i="3"/>
  <c r="F27" i="3"/>
  <c r="G27" i="3"/>
  <c r="E28" i="3"/>
  <c r="F28" i="3"/>
  <c r="G28" i="3"/>
  <c r="E29" i="3"/>
  <c r="F29" i="3"/>
  <c r="G29" i="3"/>
  <c r="E30" i="3"/>
  <c r="F30" i="3"/>
  <c r="G30" i="3"/>
  <c r="E31" i="3"/>
  <c r="F31" i="3"/>
  <c r="G31" i="3"/>
  <c r="E32" i="3"/>
  <c r="F32" i="3"/>
  <c r="G32" i="3"/>
  <c r="E33" i="3"/>
  <c r="F33" i="3"/>
  <c r="G33" i="3"/>
  <c r="E34" i="3"/>
  <c r="F34" i="3"/>
  <c r="G34" i="3"/>
  <c r="E35" i="3"/>
  <c r="F35" i="3"/>
  <c r="G35" i="3"/>
  <c r="E36" i="3"/>
  <c r="F36" i="3"/>
  <c r="G36" i="3"/>
  <c r="E37" i="3"/>
  <c r="F37" i="3"/>
  <c r="G37" i="3"/>
  <c r="E38" i="3"/>
  <c r="F38" i="3"/>
  <c r="G38" i="3"/>
  <c r="E39" i="3"/>
  <c r="F39" i="3"/>
  <c r="G39" i="3"/>
  <c r="E40" i="3"/>
  <c r="F40" i="3"/>
  <c r="G40" i="3"/>
  <c r="E41" i="3"/>
  <c r="F41" i="3"/>
  <c r="G41" i="3"/>
  <c r="E42" i="3"/>
  <c r="F42" i="3"/>
  <c r="G42" i="3"/>
  <c r="E43" i="3"/>
  <c r="F43" i="3"/>
  <c r="G43" i="3"/>
  <c r="E44" i="3"/>
  <c r="F44" i="3"/>
  <c r="G44" i="3"/>
  <c r="E45" i="3"/>
  <c r="F45" i="3"/>
  <c r="G45" i="3"/>
  <c r="E46" i="3"/>
  <c r="F46" i="3"/>
  <c r="G46" i="3"/>
  <c r="E47" i="3"/>
  <c r="F47" i="3"/>
  <c r="G47" i="3"/>
  <c r="E48" i="3"/>
  <c r="F48" i="3"/>
  <c r="G48" i="3"/>
  <c r="E49" i="3"/>
  <c r="F49" i="3"/>
  <c r="G49" i="3"/>
  <c r="E50" i="3"/>
  <c r="F50" i="3"/>
  <c r="G50" i="3"/>
  <c r="E51" i="3"/>
  <c r="F51" i="3"/>
  <c r="G51" i="3"/>
  <c r="E52" i="3"/>
  <c r="F52" i="3"/>
  <c r="G52" i="3"/>
  <c r="E53" i="3"/>
  <c r="F53" i="3"/>
  <c r="G53" i="3"/>
  <c r="E54" i="3"/>
  <c r="F54" i="3"/>
  <c r="G54" i="3"/>
  <c r="E55" i="3"/>
  <c r="F55" i="3"/>
  <c r="G55" i="3"/>
  <c r="E56" i="3"/>
  <c r="F56" i="3"/>
  <c r="G56" i="3"/>
  <c r="E57" i="3"/>
  <c r="F57" i="3"/>
  <c r="G57" i="3"/>
  <c r="E58" i="3"/>
  <c r="F58" i="3"/>
  <c r="G58" i="3"/>
  <c r="E59" i="3"/>
  <c r="F59" i="3"/>
  <c r="G59" i="3"/>
  <c r="E60" i="3"/>
  <c r="F60" i="3"/>
  <c r="G60" i="3"/>
  <c r="E61" i="3"/>
  <c r="F61" i="3"/>
  <c r="G61" i="3"/>
  <c r="E62" i="3"/>
  <c r="F62" i="3"/>
  <c r="G62" i="3"/>
  <c r="E63" i="3"/>
  <c r="F63" i="3"/>
  <c r="G63" i="3"/>
  <c r="E64" i="3"/>
  <c r="F64" i="3"/>
  <c r="G64" i="3"/>
  <c r="E65" i="3"/>
  <c r="F65" i="3"/>
  <c r="G65" i="3"/>
  <c r="E66" i="3"/>
  <c r="F66" i="3"/>
  <c r="G66" i="3"/>
  <c r="E67" i="3"/>
  <c r="F67" i="3"/>
  <c r="G67" i="3"/>
  <c r="E68" i="3"/>
  <c r="F68" i="3"/>
  <c r="G68" i="3"/>
  <c r="E69" i="3"/>
  <c r="F69" i="3"/>
  <c r="G69" i="3"/>
  <c r="E70" i="3"/>
  <c r="F70" i="3"/>
  <c r="G70" i="3"/>
  <c r="E71" i="3"/>
  <c r="F71" i="3"/>
  <c r="G71" i="3"/>
  <c r="E72" i="3"/>
  <c r="F72" i="3"/>
  <c r="G72" i="3"/>
  <c r="E73" i="3"/>
  <c r="F73" i="3"/>
  <c r="G73" i="3"/>
  <c r="E74" i="3"/>
  <c r="F74" i="3"/>
  <c r="G74" i="3"/>
  <c r="E75" i="3"/>
  <c r="F75" i="3"/>
  <c r="G75" i="3"/>
  <c r="E76" i="3"/>
  <c r="F76" i="3"/>
  <c r="G76" i="3"/>
  <c r="E77" i="3"/>
  <c r="F77" i="3"/>
  <c r="G77" i="3"/>
  <c r="E78" i="3"/>
  <c r="F78" i="3"/>
  <c r="G78" i="3"/>
  <c r="E79" i="3"/>
  <c r="F79" i="3"/>
  <c r="G79" i="3"/>
  <c r="E80" i="3"/>
  <c r="F80" i="3"/>
  <c r="G80" i="3"/>
  <c r="E81" i="3"/>
  <c r="F81" i="3"/>
  <c r="G81" i="3"/>
  <c r="E82" i="3"/>
  <c r="F82" i="3"/>
  <c r="G82" i="3"/>
  <c r="E83" i="3"/>
  <c r="F83" i="3"/>
  <c r="G83" i="3"/>
  <c r="E84" i="3"/>
  <c r="F84" i="3"/>
  <c r="G84" i="3"/>
  <c r="E85" i="3"/>
  <c r="F85" i="3"/>
  <c r="G85" i="3"/>
  <c r="E86" i="3"/>
  <c r="F86" i="3"/>
  <c r="G86" i="3"/>
  <c r="E87" i="3"/>
  <c r="F87" i="3"/>
  <c r="G87" i="3"/>
  <c r="E88" i="3"/>
  <c r="F88" i="3"/>
  <c r="G88" i="3"/>
  <c r="E89" i="3"/>
  <c r="F89" i="3"/>
  <c r="G89" i="3"/>
  <c r="E90" i="3"/>
  <c r="F90" i="3"/>
  <c r="G90" i="3"/>
  <c r="E91" i="3"/>
  <c r="F91" i="3"/>
  <c r="G91" i="3"/>
  <c r="E92" i="3"/>
  <c r="F92" i="3"/>
  <c r="G92" i="3"/>
  <c r="E93" i="3"/>
  <c r="F93" i="3"/>
  <c r="G93" i="3"/>
  <c r="E94" i="3"/>
  <c r="F94" i="3"/>
  <c r="G94" i="3"/>
  <c r="E95" i="3"/>
  <c r="F95" i="3"/>
  <c r="G95" i="3"/>
  <c r="E96" i="3"/>
  <c r="F96" i="3"/>
  <c r="G96" i="3"/>
  <c r="E97" i="3"/>
  <c r="F97" i="3"/>
  <c r="G97" i="3"/>
  <c r="E98" i="3"/>
  <c r="F98" i="3"/>
  <c r="G98" i="3"/>
  <c r="E99" i="3"/>
  <c r="F99" i="3"/>
  <c r="G99" i="3"/>
  <c r="E100" i="3"/>
  <c r="F100" i="3"/>
  <c r="G100" i="3"/>
  <c r="E101" i="3"/>
  <c r="F101" i="3"/>
  <c r="G101" i="3"/>
  <c r="E102" i="3"/>
  <c r="F102" i="3"/>
  <c r="G102" i="3"/>
  <c r="E103" i="3"/>
  <c r="F103" i="3"/>
  <c r="G103" i="3"/>
  <c r="E104" i="3"/>
  <c r="F104" i="3"/>
  <c r="G104" i="3"/>
  <c r="E105" i="3"/>
  <c r="F105" i="3"/>
  <c r="G105" i="3"/>
  <c r="E106" i="3"/>
  <c r="F106" i="3"/>
  <c r="G106" i="3"/>
  <c r="E107" i="3"/>
  <c r="F107" i="3"/>
  <c r="G107" i="3"/>
  <c r="E108" i="3"/>
  <c r="F108" i="3"/>
  <c r="G108" i="3"/>
  <c r="E109" i="3"/>
  <c r="F109" i="3"/>
  <c r="G109" i="3"/>
  <c r="E110" i="3"/>
  <c r="F110" i="3"/>
  <c r="G110" i="3"/>
  <c r="E111" i="3"/>
  <c r="F111" i="3"/>
  <c r="G111" i="3"/>
  <c r="E112" i="3"/>
  <c r="F112" i="3"/>
  <c r="G112" i="3"/>
  <c r="E113" i="3"/>
  <c r="F113" i="3"/>
  <c r="G113" i="3"/>
  <c r="E114" i="3"/>
  <c r="F114" i="3"/>
  <c r="G114" i="3"/>
  <c r="E115" i="3"/>
  <c r="F115" i="3"/>
  <c r="G115" i="3"/>
  <c r="E116" i="3"/>
  <c r="F116" i="3"/>
  <c r="G116" i="3"/>
  <c r="E117" i="3"/>
  <c r="F117" i="3"/>
  <c r="G117" i="3"/>
  <c r="E118" i="3"/>
  <c r="F118" i="3"/>
  <c r="G118" i="3"/>
  <c r="E119" i="3"/>
  <c r="F119" i="3"/>
  <c r="G119" i="3"/>
  <c r="E120" i="3"/>
  <c r="F120" i="3"/>
  <c r="G120" i="3"/>
  <c r="E121" i="3"/>
  <c r="F121" i="3"/>
  <c r="G121" i="3"/>
  <c r="E122" i="3"/>
  <c r="F122" i="3"/>
  <c r="G122" i="3"/>
  <c r="E123" i="3"/>
  <c r="F123" i="3"/>
  <c r="G123" i="3"/>
  <c r="E124" i="3"/>
  <c r="F124" i="3"/>
  <c r="G124" i="3"/>
  <c r="E125" i="3"/>
  <c r="F125" i="3"/>
  <c r="G125" i="3"/>
  <c r="E126" i="3"/>
  <c r="F126" i="3"/>
  <c r="G126" i="3"/>
  <c r="E127" i="3"/>
  <c r="F127" i="3"/>
  <c r="G127" i="3"/>
  <c r="E128" i="3"/>
  <c r="F128" i="3"/>
  <c r="G128" i="3"/>
  <c r="E129" i="3"/>
  <c r="F129" i="3"/>
  <c r="G129" i="3"/>
  <c r="E130" i="3"/>
  <c r="F130" i="3"/>
  <c r="G130" i="3"/>
  <c r="E131" i="3"/>
  <c r="F131" i="3"/>
  <c r="G131" i="3"/>
  <c r="E132" i="3"/>
  <c r="F132" i="3"/>
  <c r="G132" i="3"/>
  <c r="E133" i="3"/>
  <c r="F133" i="3"/>
  <c r="G133" i="3"/>
  <c r="E134" i="3"/>
  <c r="F134" i="3"/>
  <c r="G134" i="3"/>
  <c r="E135" i="3"/>
  <c r="F135" i="3"/>
  <c r="G135" i="3"/>
  <c r="E136" i="3"/>
  <c r="F136" i="3"/>
  <c r="G136" i="3"/>
  <c r="H136" i="3" s="1"/>
  <c r="I136" i="3" s="1"/>
  <c r="E137" i="3"/>
  <c r="F137" i="3"/>
  <c r="G137" i="3"/>
  <c r="E138" i="3"/>
  <c r="F138" i="3"/>
  <c r="G138" i="3"/>
  <c r="E139" i="3"/>
  <c r="F139" i="3"/>
  <c r="G139" i="3"/>
  <c r="E140" i="3"/>
  <c r="F140" i="3"/>
  <c r="G140" i="3"/>
  <c r="E141" i="3"/>
  <c r="F141" i="3"/>
  <c r="G141" i="3"/>
  <c r="E142" i="3"/>
  <c r="F142" i="3"/>
  <c r="G142" i="3"/>
  <c r="E143" i="3"/>
  <c r="F143" i="3"/>
  <c r="G143" i="3"/>
  <c r="E144" i="3"/>
  <c r="F144" i="3"/>
  <c r="G144" i="3"/>
  <c r="E145" i="3"/>
  <c r="F145" i="3"/>
  <c r="G145" i="3"/>
  <c r="G2" i="3"/>
  <c r="F2" i="3"/>
  <c r="E2" i="3"/>
  <c r="R3" i="2"/>
  <c r="S3" i="2"/>
  <c r="R4" i="2"/>
  <c r="S4" i="2"/>
  <c r="R5" i="2"/>
  <c r="S5" i="2"/>
  <c r="R6" i="2"/>
  <c r="S6" i="2"/>
  <c r="R7" i="2"/>
  <c r="S7" i="2"/>
  <c r="R8" i="2"/>
  <c r="S8" i="2"/>
  <c r="R9" i="2"/>
  <c r="S9" i="2"/>
  <c r="R10" i="2"/>
  <c r="S10" i="2"/>
  <c r="R11" i="2"/>
  <c r="S11" i="2"/>
  <c r="R12" i="2"/>
  <c r="S12" i="2"/>
  <c r="R13" i="2"/>
  <c r="S13" i="2"/>
  <c r="R14" i="2"/>
  <c r="S14" i="2"/>
  <c r="R15" i="2"/>
  <c r="S15" i="2"/>
  <c r="R16" i="2"/>
  <c r="S16" i="2"/>
  <c r="R17" i="2"/>
  <c r="S17" i="2"/>
  <c r="R18" i="2"/>
  <c r="S18" i="2"/>
  <c r="R19" i="2"/>
  <c r="S19" i="2"/>
  <c r="R20" i="2"/>
  <c r="S20" i="2"/>
  <c r="R21" i="2"/>
  <c r="S21" i="2"/>
  <c r="R22" i="2"/>
  <c r="S22" i="2"/>
  <c r="R23" i="2"/>
  <c r="S23" i="2"/>
  <c r="R24" i="2"/>
  <c r="S24" i="2"/>
  <c r="R25" i="2"/>
  <c r="S25" i="2"/>
  <c r="R26" i="2"/>
  <c r="S26" i="2"/>
  <c r="R27" i="2"/>
  <c r="S27" i="2"/>
  <c r="R28" i="2"/>
  <c r="S28" i="2"/>
  <c r="R29" i="2"/>
  <c r="S29" i="2"/>
  <c r="R30" i="2"/>
  <c r="S30" i="2"/>
  <c r="R31" i="2"/>
  <c r="S31" i="2"/>
  <c r="R32" i="2"/>
  <c r="S32" i="2"/>
  <c r="R33" i="2"/>
  <c r="S33" i="2"/>
  <c r="R34" i="2"/>
  <c r="S34" i="2"/>
  <c r="R35" i="2"/>
  <c r="S35" i="2"/>
  <c r="R36" i="2"/>
  <c r="S36" i="2"/>
  <c r="R37" i="2"/>
  <c r="S37" i="2"/>
  <c r="R38" i="2"/>
  <c r="S38" i="2"/>
  <c r="R39" i="2"/>
  <c r="S39" i="2"/>
  <c r="R40" i="2"/>
  <c r="S40" i="2"/>
  <c r="R41" i="2"/>
  <c r="S41" i="2"/>
  <c r="R42" i="2"/>
  <c r="S42" i="2"/>
  <c r="R43" i="2"/>
  <c r="S43" i="2"/>
  <c r="R44" i="2"/>
  <c r="S44" i="2"/>
  <c r="R45" i="2"/>
  <c r="S45" i="2"/>
  <c r="R46" i="2"/>
  <c r="S46" i="2"/>
  <c r="R47" i="2"/>
  <c r="S47" i="2"/>
  <c r="R48" i="2"/>
  <c r="S48" i="2"/>
  <c r="R49" i="2"/>
  <c r="S49" i="2"/>
  <c r="R50" i="2"/>
  <c r="S50" i="2"/>
  <c r="R51" i="2"/>
  <c r="S51" i="2"/>
  <c r="R52" i="2"/>
  <c r="S52" i="2"/>
  <c r="R53" i="2"/>
  <c r="S53" i="2"/>
  <c r="R54" i="2"/>
  <c r="S54" i="2"/>
  <c r="R55" i="2"/>
  <c r="S55" i="2"/>
  <c r="R56" i="2"/>
  <c r="S56" i="2"/>
  <c r="R57" i="2"/>
  <c r="S57" i="2"/>
  <c r="R58" i="2"/>
  <c r="S58" i="2"/>
  <c r="R59" i="2"/>
  <c r="S59" i="2"/>
  <c r="R60" i="2"/>
  <c r="S60" i="2"/>
  <c r="R61" i="2"/>
  <c r="S61" i="2"/>
  <c r="R62" i="2"/>
  <c r="S62" i="2"/>
  <c r="R63" i="2"/>
  <c r="S63" i="2"/>
  <c r="R64" i="2"/>
  <c r="S64" i="2"/>
  <c r="R65" i="2"/>
  <c r="S65" i="2"/>
  <c r="R66" i="2"/>
  <c r="S66" i="2"/>
  <c r="R67" i="2"/>
  <c r="S67" i="2"/>
  <c r="R68" i="2"/>
  <c r="S68" i="2"/>
  <c r="R69" i="2"/>
  <c r="S69" i="2"/>
  <c r="R70" i="2"/>
  <c r="S70" i="2"/>
  <c r="R71" i="2"/>
  <c r="S71" i="2"/>
  <c r="R72" i="2"/>
  <c r="S72" i="2"/>
  <c r="R73" i="2"/>
  <c r="S73" i="2"/>
  <c r="R74" i="2"/>
  <c r="S74" i="2"/>
  <c r="R75" i="2"/>
  <c r="S75" i="2"/>
  <c r="R76" i="2"/>
  <c r="S76" i="2"/>
  <c r="R77" i="2"/>
  <c r="S77" i="2"/>
  <c r="R78" i="2"/>
  <c r="S78" i="2"/>
  <c r="R79" i="2"/>
  <c r="S79" i="2"/>
  <c r="R80" i="2"/>
  <c r="S80" i="2"/>
  <c r="R81" i="2"/>
  <c r="S81" i="2"/>
  <c r="R82" i="2"/>
  <c r="S82" i="2"/>
  <c r="R83" i="2"/>
  <c r="S83" i="2"/>
  <c r="R84" i="2"/>
  <c r="S84" i="2"/>
  <c r="R85" i="2"/>
  <c r="S85" i="2"/>
  <c r="R86" i="2"/>
  <c r="S86" i="2"/>
  <c r="R87" i="2"/>
  <c r="S87" i="2"/>
  <c r="R88" i="2"/>
  <c r="S88" i="2"/>
  <c r="R89" i="2"/>
  <c r="S89" i="2"/>
  <c r="R90" i="2"/>
  <c r="S90" i="2"/>
  <c r="R91" i="2"/>
  <c r="S91" i="2"/>
  <c r="R92" i="2"/>
  <c r="S92" i="2"/>
  <c r="R93" i="2"/>
  <c r="S93" i="2"/>
  <c r="R94" i="2"/>
  <c r="S94" i="2"/>
  <c r="R95" i="2"/>
  <c r="S95" i="2"/>
  <c r="R96" i="2"/>
  <c r="S96" i="2"/>
  <c r="R97" i="2"/>
  <c r="S97" i="2"/>
  <c r="R98" i="2"/>
  <c r="S98" i="2"/>
  <c r="R99" i="2"/>
  <c r="S99" i="2"/>
  <c r="R100" i="2"/>
  <c r="S100" i="2"/>
  <c r="R101" i="2"/>
  <c r="S101" i="2"/>
  <c r="R102" i="2"/>
  <c r="S102" i="2"/>
  <c r="R103" i="2"/>
  <c r="S103" i="2"/>
  <c r="R104" i="2"/>
  <c r="S104" i="2"/>
  <c r="R105" i="2"/>
  <c r="S105" i="2"/>
  <c r="R106" i="2"/>
  <c r="S106" i="2"/>
  <c r="R107" i="2"/>
  <c r="S107" i="2"/>
  <c r="R108" i="2"/>
  <c r="S108" i="2"/>
  <c r="R109" i="2"/>
  <c r="S109" i="2"/>
  <c r="R110" i="2"/>
  <c r="S110" i="2"/>
  <c r="R111" i="2"/>
  <c r="S111" i="2"/>
  <c r="R112" i="2"/>
  <c r="S112" i="2"/>
  <c r="R113" i="2"/>
  <c r="S113" i="2"/>
  <c r="R114" i="2"/>
  <c r="S114" i="2"/>
  <c r="R115" i="2"/>
  <c r="S115" i="2"/>
  <c r="R116" i="2"/>
  <c r="S116" i="2"/>
  <c r="R117" i="2"/>
  <c r="S117" i="2"/>
  <c r="R118" i="2"/>
  <c r="S118" i="2"/>
  <c r="R119" i="2"/>
  <c r="S119" i="2"/>
  <c r="R120" i="2"/>
  <c r="S120" i="2"/>
  <c r="R121" i="2"/>
  <c r="S121" i="2"/>
  <c r="R122" i="2"/>
  <c r="S122" i="2"/>
  <c r="R123" i="2"/>
  <c r="S123" i="2"/>
  <c r="R124" i="2"/>
  <c r="S124" i="2"/>
  <c r="R125" i="2"/>
  <c r="S125" i="2"/>
  <c r="R126" i="2"/>
  <c r="S126" i="2"/>
  <c r="R127" i="2"/>
  <c r="S127" i="2"/>
  <c r="R128" i="2"/>
  <c r="S128" i="2"/>
  <c r="R129" i="2"/>
  <c r="S129" i="2"/>
  <c r="R130" i="2"/>
  <c r="S130" i="2"/>
  <c r="R131" i="2"/>
  <c r="S131" i="2"/>
  <c r="R132" i="2"/>
  <c r="S132" i="2"/>
  <c r="R133" i="2"/>
  <c r="S133" i="2"/>
  <c r="R134" i="2"/>
  <c r="S134" i="2"/>
  <c r="R135" i="2"/>
  <c r="S135" i="2"/>
  <c r="R136" i="2"/>
  <c r="S136" i="2"/>
  <c r="R137" i="2"/>
  <c r="S137" i="2"/>
  <c r="R138" i="2"/>
  <c r="S138" i="2"/>
  <c r="R139" i="2"/>
  <c r="S139" i="2"/>
  <c r="R140" i="2"/>
  <c r="S140" i="2"/>
  <c r="R141" i="2"/>
  <c r="S141" i="2"/>
  <c r="R142" i="2"/>
  <c r="S142" i="2"/>
  <c r="R143" i="2"/>
  <c r="S143" i="2"/>
  <c r="R144" i="2"/>
  <c r="S144" i="2"/>
  <c r="R145" i="2"/>
  <c r="S145" i="2"/>
  <c r="R146" i="2"/>
  <c r="S146" i="2"/>
  <c r="R147" i="2"/>
  <c r="S147" i="2"/>
  <c r="R148" i="2"/>
  <c r="S148" i="2"/>
  <c r="R149" i="2"/>
  <c r="S149" i="2"/>
  <c r="R150" i="2"/>
  <c r="S150" i="2"/>
  <c r="R151" i="2"/>
  <c r="S151" i="2"/>
  <c r="R152" i="2"/>
  <c r="S152" i="2"/>
  <c r="R153" i="2"/>
  <c r="S153" i="2"/>
  <c r="R154" i="2"/>
  <c r="S154" i="2"/>
  <c r="R155" i="2"/>
  <c r="S155" i="2"/>
  <c r="R156" i="2"/>
  <c r="S156" i="2"/>
  <c r="R157" i="2"/>
  <c r="S157" i="2"/>
  <c r="R158" i="2"/>
  <c r="S158" i="2"/>
  <c r="R159" i="2"/>
  <c r="S159" i="2"/>
  <c r="R160" i="2"/>
  <c r="S160" i="2"/>
  <c r="R161" i="2"/>
  <c r="S161" i="2"/>
  <c r="R162" i="2"/>
  <c r="S162" i="2"/>
  <c r="R163" i="2"/>
  <c r="S163" i="2"/>
  <c r="R164" i="2"/>
  <c r="S164" i="2"/>
  <c r="R165" i="2"/>
  <c r="S165" i="2"/>
  <c r="R166" i="2"/>
  <c r="S166" i="2"/>
  <c r="R167" i="2"/>
  <c r="S167" i="2"/>
  <c r="R168" i="2"/>
  <c r="S168" i="2"/>
  <c r="R169" i="2"/>
  <c r="S169" i="2"/>
  <c r="R170" i="2"/>
  <c r="S170" i="2"/>
  <c r="R171" i="2"/>
  <c r="S171" i="2"/>
  <c r="R172" i="2"/>
  <c r="S172" i="2"/>
  <c r="R173" i="2"/>
  <c r="S173" i="2"/>
  <c r="R174" i="2"/>
  <c r="S174" i="2"/>
  <c r="R175" i="2"/>
  <c r="S175" i="2"/>
  <c r="R176" i="2"/>
  <c r="S176" i="2"/>
  <c r="R177" i="2"/>
  <c r="S177" i="2"/>
  <c r="R178" i="2"/>
  <c r="S178" i="2"/>
  <c r="R179" i="2"/>
  <c r="S179" i="2"/>
  <c r="R180" i="2"/>
  <c r="S180" i="2"/>
  <c r="R181" i="2"/>
  <c r="S181" i="2"/>
  <c r="R182" i="2"/>
  <c r="S182" i="2"/>
  <c r="R183" i="2"/>
  <c r="S183" i="2"/>
  <c r="R184" i="2"/>
  <c r="S184" i="2"/>
  <c r="R185" i="2"/>
  <c r="S185" i="2"/>
  <c r="R186" i="2"/>
  <c r="S186" i="2"/>
  <c r="R187" i="2"/>
  <c r="S187" i="2"/>
  <c r="R188" i="2"/>
  <c r="S188" i="2"/>
  <c r="R189" i="2"/>
  <c r="S189" i="2"/>
  <c r="R190" i="2"/>
  <c r="S190" i="2"/>
  <c r="R191" i="2"/>
  <c r="S191" i="2"/>
  <c r="R192" i="2"/>
  <c r="S192" i="2"/>
  <c r="R193" i="2"/>
  <c r="S193" i="2"/>
  <c r="R194" i="2"/>
  <c r="S194" i="2"/>
  <c r="R195" i="2"/>
  <c r="S195" i="2"/>
  <c r="R196" i="2"/>
  <c r="S196" i="2"/>
  <c r="R197" i="2"/>
  <c r="S197" i="2"/>
  <c r="R198" i="2"/>
  <c r="S198" i="2"/>
  <c r="R199" i="2"/>
  <c r="S199" i="2"/>
  <c r="R200" i="2"/>
  <c r="S200" i="2"/>
  <c r="R201" i="2"/>
  <c r="S201" i="2"/>
  <c r="R202" i="2"/>
  <c r="S202" i="2"/>
  <c r="R203" i="2"/>
  <c r="S203" i="2"/>
  <c r="R204" i="2"/>
  <c r="S204" i="2"/>
  <c r="R205" i="2"/>
  <c r="S205" i="2"/>
  <c r="R206" i="2"/>
  <c r="S206" i="2"/>
  <c r="R207" i="2"/>
  <c r="S207" i="2"/>
  <c r="R208" i="2"/>
  <c r="S208" i="2"/>
  <c r="R209" i="2"/>
  <c r="S209" i="2"/>
  <c r="R210" i="2"/>
  <c r="S210" i="2"/>
  <c r="R211" i="2"/>
  <c r="S211" i="2"/>
  <c r="R212" i="2"/>
  <c r="S212" i="2"/>
  <c r="R213" i="2"/>
  <c r="S213" i="2"/>
  <c r="R214" i="2"/>
  <c r="S214" i="2"/>
  <c r="R215" i="2"/>
  <c r="S215" i="2"/>
  <c r="R216" i="2"/>
  <c r="S216" i="2"/>
  <c r="R217" i="2"/>
  <c r="S217" i="2"/>
  <c r="R218" i="2"/>
  <c r="S218" i="2"/>
  <c r="R219" i="2"/>
  <c r="S219" i="2"/>
  <c r="R220" i="2"/>
  <c r="S220" i="2"/>
  <c r="R221" i="2"/>
  <c r="S221" i="2"/>
  <c r="R222" i="2"/>
  <c r="S222" i="2"/>
  <c r="R223" i="2"/>
  <c r="S223" i="2"/>
  <c r="R224" i="2"/>
  <c r="S224" i="2"/>
  <c r="R225" i="2"/>
  <c r="S225" i="2"/>
  <c r="R226" i="2"/>
  <c r="S226" i="2"/>
  <c r="R227" i="2"/>
  <c r="S227" i="2"/>
  <c r="R228" i="2"/>
  <c r="S228" i="2"/>
  <c r="R229" i="2"/>
  <c r="S229" i="2"/>
  <c r="R230" i="2"/>
  <c r="S230" i="2"/>
  <c r="R231" i="2"/>
  <c r="S231" i="2"/>
  <c r="R232" i="2"/>
  <c r="S232" i="2"/>
  <c r="R233" i="2"/>
  <c r="S233" i="2"/>
  <c r="R234" i="2"/>
  <c r="S234" i="2"/>
  <c r="R235" i="2"/>
  <c r="S235" i="2"/>
  <c r="R236" i="2"/>
  <c r="S236" i="2"/>
  <c r="R237" i="2"/>
  <c r="S237" i="2"/>
  <c r="R238" i="2"/>
  <c r="S238" i="2"/>
  <c r="R239" i="2"/>
  <c r="S239" i="2"/>
  <c r="R240" i="2"/>
  <c r="S240" i="2"/>
  <c r="R241" i="2"/>
  <c r="S241" i="2"/>
  <c r="R242" i="2"/>
  <c r="S242" i="2"/>
  <c r="R243" i="2"/>
  <c r="S243" i="2"/>
  <c r="R244" i="2"/>
  <c r="S244" i="2"/>
  <c r="R245" i="2"/>
  <c r="S245" i="2"/>
  <c r="R246" i="2"/>
  <c r="S246" i="2"/>
  <c r="R247" i="2"/>
  <c r="S247" i="2"/>
  <c r="R248" i="2"/>
  <c r="S248" i="2"/>
  <c r="R249" i="2"/>
  <c r="S249" i="2"/>
  <c r="R250" i="2"/>
  <c r="S250" i="2"/>
  <c r="R251" i="2"/>
  <c r="S251" i="2"/>
  <c r="R252" i="2"/>
  <c r="S252" i="2"/>
  <c r="R253" i="2"/>
  <c r="S253" i="2"/>
  <c r="R254" i="2"/>
  <c r="S254" i="2"/>
  <c r="R255" i="2"/>
  <c r="S255" i="2"/>
  <c r="R256" i="2"/>
  <c r="S256" i="2"/>
  <c r="R257" i="2"/>
  <c r="S257" i="2"/>
  <c r="R258" i="2"/>
  <c r="S258" i="2"/>
  <c r="R259" i="2"/>
  <c r="S259" i="2"/>
  <c r="R260" i="2"/>
  <c r="S260" i="2"/>
  <c r="R261" i="2"/>
  <c r="S261" i="2"/>
  <c r="R262" i="2"/>
  <c r="S262" i="2"/>
  <c r="R263" i="2"/>
  <c r="S263" i="2"/>
  <c r="R264" i="2"/>
  <c r="S264" i="2"/>
  <c r="R265" i="2"/>
  <c r="S265" i="2"/>
  <c r="R266" i="2"/>
  <c r="S266" i="2"/>
  <c r="R267" i="2"/>
  <c r="S267" i="2"/>
  <c r="R268" i="2"/>
  <c r="S268" i="2"/>
  <c r="R269" i="2"/>
  <c r="S269" i="2"/>
  <c r="R270" i="2"/>
  <c r="S270" i="2"/>
  <c r="R271" i="2"/>
  <c r="S271" i="2"/>
  <c r="R272" i="2"/>
  <c r="S272" i="2"/>
  <c r="R273" i="2"/>
  <c r="S273" i="2"/>
  <c r="R274" i="2"/>
  <c r="S274" i="2"/>
  <c r="R275" i="2"/>
  <c r="S275" i="2"/>
  <c r="R276" i="2"/>
  <c r="S276" i="2"/>
  <c r="R277" i="2"/>
  <c r="S277" i="2"/>
  <c r="R278" i="2"/>
  <c r="S278" i="2"/>
  <c r="R279" i="2"/>
  <c r="S279" i="2"/>
  <c r="R280" i="2"/>
  <c r="S280" i="2"/>
  <c r="R281" i="2"/>
  <c r="S281" i="2"/>
  <c r="R282" i="2"/>
  <c r="S282" i="2"/>
  <c r="R283" i="2"/>
  <c r="S283" i="2"/>
  <c r="R284" i="2"/>
  <c r="S284" i="2"/>
  <c r="R285" i="2"/>
  <c r="S285" i="2"/>
  <c r="R286" i="2"/>
  <c r="S286" i="2"/>
  <c r="R287" i="2"/>
  <c r="S287" i="2"/>
  <c r="R288" i="2"/>
  <c r="S288" i="2"/>
  <c r="R289" i="2"/>
  <c r="S289" i="2"/>
  <c r="R290" i="2"/>
  <c r="S290" i="2"/>
  <c r="R291" i="2"/>
  <c r="S291" i="2"/>
  <c r="R292" i="2"/>
  <c r="S292" i="2"/>
  <c r="R293" i="2"/>
  <c r="S293" i="2"/>
  <c r="R294" i="2"/>
  <c r="S294" i="2"/>
  <c r="R295" i="2"/>
  <c r="S295" i="2"/>
  <c r="R296" i="2"/>
  <c r="S296" i="2"/>
  <c r="R297" i="2"/>
  <c r="S297" i="2"/>
  <c r="R298" i="2"/>
  <c r="S298" i="2"/>
  <c r="R299" i="2"/>
  <c r="S299" i="2"/>
  <c r="R300" i="2"/>
  <c r="S300" i="2"/>
  <c r="R301" i="2"/>
  <c r="S301" i="2"/>
  <c r="R302" i="2"/>
  <c r="S302" i="2"/>
  <c r="R303" i="2"/>
  <c r="S303" i="2"/>
  <c r="R304" i="2"/>
  <c r="S304" i="2"/>
  <c r="R305" i="2"/>
  <c r="S305" i="2"/>
  <c r="R306" i="2"/>
  <c r="S306" i="2"/>
  <c r="R307" i="2"/>
  <c r="S307" i="2"/>
  <c r="R308" i="2"/>
  <c r="S308" i="2"/>
  <c r="R309" i="2"/>
  <c r="S309" i="2"/>
  <c r="R310" i="2"/>
  <c r="S310" i="2"/>
  <c r="R311" i="2"/>
  <c r="S311" i="2"/>
  <c r="R312" i="2"/>
  <c r="S312" i="2"/>
  <c r="R313" i="2"/>
  <c r="S313" i="2"/>
  <c r="R314" i="2"/>
  <c r="S314" i="2"/>
  <c r="R315" i="2"/>
  <c r="S315" i="2"/>
  <c r="R316" i="2"/>
  <c r="S316" i="2"/>
  <c r="R317" i="2"/>
  <c r="S317" i="2"/>
  <c r="R318" i="2"/>
  <c r="S318" i="2"/>
  <c r="R319" i="2"/>
  <c r="S319" i="2"/>
  <c r="R320" i="2"/>
  <c r="S320" i="2"/>
  <c r="R321" i="2"/>
  <c r="S321" i="2"/>
  <c r="R322" i="2"/>
  <c r="S322" i="2"/>
  <c r="R323" i="2"/>
  <c r="S323" i="2"/>
  <c r="R324" i="2"/>
  <c r="S324" i="2"/>
  <c r="R325" i="2"/>
  <c r="S325" i="2"/>
  <c r="R326" i="2"/>
  <c r="S326" i="2"/>
  <c r="R327" i="2"/>
  <c r="S327" i="2"/>
  <c r="R328" i="2"/>
  <c r="S328" i="2"/>
  <c r="R329" i="2"/>
  <c r="S329" i="2"/>
  <c r="R330" i="2"/>
  <c r="S330" i="2"/>
  <c r="R331" i="2"/>
  <c r="S331" i="2"/>
  <c r="R332" i="2"/>
  <c r="S332" i="2"/>
  <c r="R333" i="2"/>
  <c r="S333" i="2"/>
  <c r="R334" i="2"/>
  <c r="S334" i="2"/>
  <c r="R335" i="2"/>
  <c r="S335" i="2"/>
  <c r="R336" i="2"/>
  <c r="S336" i="2"/>
  <c r="R337" i="2"/>
  <c r="S337" i="2"/>
  <c r="R338" i="2"/>
  <c r="S338" i="2"/>
  <c r="R339" i="2"/>
  <c r="S339" i="2"/>
  <c r="R340" i="2"/>
  <c r="S340" i="2"/>
  <c r="R341" i="2"/>
  <c r="S341" i="2"/>
  <c r="R342" i="2"/>
  <c r="S342" i="2"/>
  <c r="R343" i="2"/>
  <c r="S343" i="2"/>
  <c r="R344" i="2"/>
  <c r="S344" i="2"/>
  <c r="R345" i="2"/>
  <c r="S345" i="2"/>
  <c r="R346" i="2"/>
  <c r="S346" i="2"/>
  <c r="R347" i="2"/>
  <c r="S347" i="2"/>
  <c r="R348" i="2"/>
  <c r="S348" i="2"/>
  <c r="R349" i="2"/>
  <c r="S349" i="2"/>
  <c r="R350" i="2"/>
  <c r="S350" i="2"/>
  <c r="R351" i="2"/>
  <c r="S351" i="2"/>
  <c r="R352" i="2"/>
  <c r="S352" i="2"/>
  <c r="R353" i="2"/>
  <c r="S353" i="2"/>
  <c r="R354" i="2"/>
  <c r="S354" i="2"/>
  <c r="R355" i="2"/>
  <c r="S355" i="2"/>
  <c r="R356" i="2"/>
  <c r="S356" i="2"/>
  <c r="R357" i="2"/>
  <c r="S357" i="2"/>
  <c r="R358" i="2"/>
  <c r="S358" i="2"/>
  <c r="R359" i="2"/>
  <c r="S359" i="2"/>
  <c r="R360" i="2"/>
  <c r="S360" i="2"/>
  <c r="R361" i="2"/>
  <c r="S361" i="2"/>
  <c r="R362" i="2"/>
  <c r="S362" i="2"/>
  <c r="R363" i="2"/>
  <c r="S363" i="2"/>
  <c r="R364" i="2"/>
  <c r="S364" i="2"/>
  <c r="R365" i="2"/>
  <c r="S365" i="2"/>
  <c r="R366" i="2"/>
  <c r="S366" i="2"/>
  <c r="R367" i="2"/>
  <c r="S367" i="2"/>
  <c r="R368" i="2"/>
  <c r="S368" i="2"/>
  <c r="R369" i="2"/>
  <c r="S369" i="2"/>
  <c r="R370" i="2"/>
  <c r="S370" i="2"/>
  <c r="R371" i="2"/>
  <c r="S371" i="2"/>
  <c r="R372" i="2"/>
  <c r="S372" i="2"/>
  <c r="R373" i="2"/>
  <c r="S373" i="2"/>
  <c r="R374" i="2"/>
  <c r="S374" i="2"/>
  <c r="R375" i="2"/>
  <c r="S375" i="2"/>
  <c r="R376" i="2"/>
  <c r="S376" i="2"/>
  <c r="R377" i="2"/>
  <c r="S377" i="2"/>
  <c r="R378" i="2"/>
  <c r="S378" i="2"/>
  <c r="R379" i="2"/>
  <c r="S379" i="2"/>
  <c r="R380" i="2"/>
  <c r="S380" i="2"/>
  <c r="R381" i="2"/>
  <c r="S381" i="2"/>
  <c r="R382" i="2"/>
  <c r="S382" i="2"/>
  <c r="R383" i="2"/>
  <c r="S383" i="2"/>
  <c r="R384" i="2"/>
  <c r="S384" i="2"/>
  <c r="R385" i="2"/>
  <c r="S385" i="2"/>
  <c r="R386" i="2"/>
  <c r="S386" i="2"/>
  <c r="R387" i="2"/>
  <c r="S387" i="2"/>
  <c r="R388" i="2"/>
  <c r="S388" i="2"/>
  <c r="R389" i="2"/>
  <c r="S389" i="2"/>
  <c r="R390" i="2"/>
  <c r="S390" i="2"/>
  <c r="R391" i="2"/>
  <c r="S391" i="2"/>
  <c r="R392" i="2"/>
  <c r="S392" i="2"/>
  <c r="R393" i="2"/>
  <c r="S393" i="2"/>
  <c r="R394" i="2"/>
  <c r="S394" i="2"/>
  <c r="R395" i="2"/>
  <c r="S395" i="2"/>
  <c r="R396" i="2"/>
  <c r="S396" i="2"/>
  <c r="R397" i="2"/>
  <c r="S397" i="2"/>
  <c r="R398" i="2"/>
  <c r="S398" i="2"/>
  <c r="R399" i="2"/>
  <c r="S399" i="2"/>
  <c r="R400" i="2"/>
  <c r="S400" i="2"/>
  <c r="R401" i="2"/>
  <c r="S401" i="2"/>
  <c r="R402" i="2"/>
  <c r="S402" i="2"/>
  <c r="R403" i="2"/>
  <c r="S403" i="2"/>
  <c r="R404" i="2"/>
  <c r="S404" i="2"/>
  <c r="R405" i="2"/>
  <c r="S405" i="2"/>
  <c r="R406" i="2"/>
  <c r="S406" i="2"/>
  <c r="R407" i="2"/>
  <c r="S407" i="2"/>
  <c r="R408" i="2"/>
  <c r="S408" i="2"/>
  <c r="R409" i="2"/>
  <c r="S409" i="2"/>
  <c r="R410" i="2"/>
  <c r="S410" i="2"/>
  <c r="R411" i="2"/>
  <c r="S411" i="2"/>
  <c r="R412" i="2"/>
  <c r="S412" i="2"/>
  <c r="R413" i="2"/>
  <c r="S413" i="2"/>
  <c r="R414" i="2"/>
  <c r="S414" i="2"/>
  <c r="R415" i="2"/>
  <c r="S415" i="2"/>
  <c r="R416" i="2"/>
  <c r="S416" i="2"/>
  <c r="R417" i="2"/>
  <c r="S417" i="2"/>
  <c r="R418" i="2"/>
  <c r="S418" i="2"/>
  <c r="R419" i="2"/>
  <c r="S419" i="2"/>
  <c r="R420" i="2"/>
  <c r="S420" i="2"/>
  <c r="R421" i="2"/>
  <c r="S421" i="2"/>
  <c r="R422" i="2"/>
  <c r="S422" i="2"/>
  <c r="R423" i="2"/>
  <c r="S423" i="2"/>
  <c r="R424" i="2"/>
  <c r="S424" i="2"/>
  <c r="R425" i="2"/>
  <c r="S425" i="2"/>
  <c r="R426" i="2"/>
  <c r="S426" i="2"/>
  <c r="R427" i="2"/>
  <c r="S427" i="2"/>
  <c r="R428" i="2"/>
  <c r="S428" i="2"/>
  <c r="R429" i="2"/>
  <c r="S429" i="2"/>
  <c r="R430" i="2"/>
  <c r="S430" i="2"/>
  <c r="R431" i="2"/>
  <c r="S431" i="2"/>
  <c r="R432" i="2"/>
  <c r="S432" i="2"/>
  <c r="R433" i="2"/>
  <c r="S433" i="2"/>
  <c r="S2" i="2"/>
  <c r="R2" i="2"/>
  <c r="J11" i="3" l="1"/>
  <c r="J13" i="3"/>
  <c r="J16" i="3"/>
  <c r="J17" i="3"/>
  <c r="J7" i="3"/>
  <c r="J8" i="3"/>
  <c r="J9" i="3"/>
  <c r="J15" i="3"/>
  <c r="J21" i="3"/>
  <c r="J12" i="3"/>
  <c r="J5" i="3"/>
  <c r="J10" i="3"/>
  <c r="J14" i="3"/>
  <c r="J3" i="3"/>
  <c r="J4" i="3"/>
  <c r="Y6" i="2"/>
  <c r="Y5" i="2"/>
  <c r="K10" i="3"/>
  <c r="K11" i="3"/>
  <c r="J19" i="3"/>
  <c r="K22" i="3"/>
  <c r="L22" i="3" s="1"/>
  <c r="K3" i="3"/>
  <c r="K4" i="3"/>
  <c r="K6" i="3"/>
  <c r="L6" i="3" s="1"/>
  <c r="K7" i="3"/>
  <c r="K12" i="3"/>
  <c r="K16" i="3"/>
  <c r="K19" i="3"/>
  <c r="K8" i="3"/>
  <c r="K13" i="3"/>
  <c r="K14" i="3"/>
  <c r="K15" i="3"/>
  <c r="K17" i="3"/>
  <c r="K21" i="3"/>
  <c r="K5" i="3"/>
  <c r="K9" i="3"/>
  <c r="K18" i="3"/>
  <c r="L18" i="3" s="1"/>
  <c r="K20" i="3"/>
  <c r="J20" i="3"/>
  <c r="L20" i="3" s="1"/>
  <c r="K23" i="3"/>
  <c r="J23" i="3"/>
  <c r="J24" i="3"/>
  <c r="K24" i="3"/>
  <c r="K25" i="3"/>
  <c r="J25" i="3"/>
  <c r="L25" i="3" s="1"/>
  <c r="K26" i="3"/>
  <c r="J26" i="3"/>
  <c r="K27" i="3"/>
  <c r="J27" i="3"/>
  <c r="L27" i="3" s="1"/>
  <c r="K28" i="3"/>
  <c r="J28" i="3"/>
  <c r="K29" i="3"/>
  <c r="J29" i="3"/>
  <c r="K30" i="3"/>
  <c r="J30" i="3"/>
  <c r="L30" i="3" s="1"/>
  <c r="K31" i="3"/>
  <c r="J31" i="3"/>
  <c r="K32" i="3"/>
  <c r="J32" i="3"/>
  <c r="J33" i="3"/>
  <c r="K33" i="3"/>
  <c r="J34" i="3"/>
  <c r="K34" i="3"/>
  <c r="J35" i="3"/>
  <c r="K35" i="3"/>
  <c r="K36" i="3"/>
  <c r="J36" i="3"/>
  <c r="L36" i="3" s="1"/>
  <c r="J37" i="3"/>
  <c r="K37" i="3"/>
  <c r="J38" i="3"/>
  <c r="K38" i="3"/>
  <c r="J39" i="3"/>
  <c r="K39" i="3"/>
  <c r="J40" i="3"/>
  <c r="K40" i="3"/>
  <c r="J41" i="3"/>
  <c r="K41" i="3"/>
  <c r="K42" i="3"/>
  <c r="J42" i="3"/>
  <c r="K43" i="3"/>
  <c r="J43" i="3"/>
  <c r="K44" i="3"/>
  <c r="J44" i="3"/>
  <c r="J45" i="3"/>
  <c r="K45" i="3"/>
  <c r="K46" i="3"/>
  <c r="J46" i="3"/>
  <c r="K47" i="3"/>
  <c r="J47" i="3"/>
  <c r="L47" i="3" s="1"/>
  <c r="K48" i="3"/>
  <c r="J48" i="3"/>
  <c r="L48" i="3" s="1"/>
  <c r="J49" i="3"/>
  <c r="K49" i="3"/>
  <c r="J50" i="3"/>
  <c r="K50" i="3"/>
  <c r="K51" i="3"/>
  <c r="J51" i="3"/>
  <c r="L51" i="3" s="1"/>
  <c r="K52" i="3"/>
  <c r="J52" i="3"/>
  <c r="L52" i="3" s="1"/>
  <c r="K53" i="3"/>
  <c r="J53" i="3"/>
  <c r="L53" i="3" s="1"/>
  <c r="K54" i="3"/>
  <c r="J54" i="3"/>
  <c r="L54" i="3" s="1"/>
  <c r="J55" i="3"/>
  <c r="K55" i="3"/>
  <c r="J56" i="3"/>
  <c r="K56" i="3"/>
  <c r="J57" i="3"/>
  <c r="K57" i="3"/>
  <c r="J58" i="3"/>
  <c r="K58" i="3"/>
  <c r="J59" i="3"/>
  <c r="K59" i="3"/>
  <c r="J60" i="3"/>
  <c r="K60" i="3"/>
  <c r="K61" i="3"/>
  <c r="J61" i="3"/>
  <c r="K62" i="3"/>
  <c r="J62" i="3"/>
  <c r="K63" i="3"/>
  <c r="J63" i="3"/>
  <c r="L63" i="3" s="1"/>
  <c r="K64" i="3"/>
  <c r="J64" i="3"/>
  <c r="L64" i="3" s="1"/>
  <c r="K65" i="3"/>
  <c r="J65" i="3"/>
  <c r="L65" i="3" s="1"/>
  <c r="K66" i="3"/>
  <c r="J66" i="3"/>
  <c r="K67" i="3"/>
  <c r="J67" i="3"/>
  <c r="L67" i="3" s="1"/>
  <c r="K68" i="3"/>
  <c r="J68" i="3"/>
  <c r="L68" i="3" s="1"/>
  <c r="K69" i="3"/>
  <c r="J69" i="3"/>
  <c r="K70" i="3"/>
  <c r="J70" i="3"/>
  <c r="L70" i="3" s="1"/>
  <c r="K71" i="3"/>
  <c r="J71" i="3"/>
  <c r="L71" i="3" s="1"/>
  <c r="K72" i="3"/>
  <c r="J72" i="3"/>
  <c r="L72" i="3" s="1"/>
  <c r="K73" i="3"/>
  <c r="J73" i="3"/>
  <c r="L73" i="3" s="1"/>
  <c r="K74" i="3"/>
  <c r="J74" i="3"/>
  <c r="L74" i="3" s="1"/>
  <c r="K75" i="3"/>
  <c r="J75" i="3"/>
  <c r="L75" i="3" s="1"/>
  <c r="K76" i="3"/>
  <c r="J76" i="3"/>
  <c r="L76" i="3" s="1"/>
  <c r="K77" i="3"/>
  <c r="J77" i="3"/>
  <c r="L77" i="3" s="1"/>
  <c r="K78" i="3"/>
  <c r="J78" i="3"/>
  <c r="L78" i="3" s="1"/>
  <c r="K79" i="3"/>
  <c r="J79" i="3"/>
  <c r="L79" i="3" s="1"/>
  <c r="K80" i="3"/>
  <c r="J80" i="3"/>
  <c r="K81" i="3"/>
  <c r="J81" i="3"/>
  <c r="L81" i="3" s="1"/>
  <c r="K82" i="3"/>
  <c r="J82" i="3"/>
  <c r="K83" i="3"/>
  <c r="J83" i="3"/>
  <c r="L83" i="3" s="1"/>
  <c r="J84" i="3"/>
  <c r="K84" i="3"/>
  <c r="J85" i="3"/>
  <c r="K85" i="3"/>
  <c r="J86" i="3"/>
  <c r="K86" i="3"/>
  <c r="J87" i="3"/>
  <c r="K87" i="3"/>
  <c r="K88" i="3"/>
  <c r="J88" i="3"/>
  <c r="L88" i="3" s="1"/>
  <c r="K89" i="3"/>
  <c r="J89" i="3"/>
  <c r="K90" i="3"/>
  <c r="J90" i="3"/>
  <c r="K91" i="3"/>
  <c r="J91" i="3"/>
  <c r="L91" i="3" s="1"/>
  <c r="K92" i="3"/>
  <c r="J92" i="3"/>
  <c r="K93" i="3"/>
  <c r="J93" i="3"/>
  <c r="K94" i="3"/>
  <c r="J94" i="3"/>
  <c r="L94" i="3" s="1"/>
  <c r="K95" i="3"/>
  <c r="J95" i="3"/>
  <c r="K96" i="3"/>
  <c r="J96" i="3"/>
  <c r="K97" i="3"/>
  <c r="J97" i="3"/>
  <c r="L97" i="3" s="1"/>
  <c r="K98" i="3"/>
  <c r="J98" i="3"/>
  <c r="K99" i="3"/>
  <c r="J99" i="3"/>
  <c r="K100" i="3"/>
  <c r="J100" i="3"/>
  <c r="K101" i="3"/>
  <c r="J101" i="3"/>
  <c r="K102" i="3"/>
  <c r="J102" i="3"/>
  <c r="K103" i="3"/>
  <c r="J103" i="3"/>
  <c r="L103" i="3" s="1"/>
  <c r="K104" i="3"/>
  <c r="J104" i="3"/>
  <c r="K105" i="3"/>
  <c r="J105" i="3"/>
  <c r="J106" i="3"/>
  <c r="K106" i="3"/>
  <c r="K107" i="3"/>
  <c r="J107" i="3"/>
  <c r="L107" i="3" s="1"/>
  <c r="K108" i="3"/>
  <c r="J108" i="3"/>
  <c r="K109" i="3"/>
  <c r="J109" i="3"/>
  <c r="K110" i="3"/>
  <c r="J110" i="3"/>
  <c r="K111" i="3"/>
  <c r="J111" i="3"/>
  <c r="J112" i="3"/>
  <c r="K112" i="3"/>
  <c r="J113" i="3"/>
  <c r="K113" i="3"/>
  <c r="J114" i="3"/>
  <c r="K114" i="3"/>
  <c r="J115" i="3"/>
  <c r="K115" i="3"/>
  <c r="J116" i="3"/>
  <c r="K116" i="3"/>
  <c r="J117" i="3"/>
  <c r="K117" i="3"/>
  <c r="J118" i="3"/>
  <c r="K118" i="3"/>
  <c r="J119" i="3"/>
  <c r="K119" i="3"/>
  <c r="K120" i="3"/>
  <c r="J120" i="3"/>
  <c r="K121" i="3"/>
  <c r="J121" i="3"/>
  <c r="L121" i="3" s="1"/>
  <c r="K122" i="3"/>
  <c r="J122" i="3"/>
  <c r="L122" i="3" s="1"/>
  <c r="K123" i="3"/>
  <c r="J123" i="3"/>
  <c r="L123" i="3" s="1"/>
  <c r="K124" i="3"/>
  <c r="J124" i="3"/>
  <c r="L124" i="3" s="1"/>
  <c r="K125" i="3"/>
  <c r="J125" i="3"/>
  <c r="L125" i="3" s="1"/>
  <c r="K126" i="3"/>
  <c r="J126" i="3"/>
  <c r="L126" i="3" s="1"/>
  <c r="K127" i="3"/>
  <c r="J127" i="3"/>
  <c r="L127" i="3" s="1"/>
  <c r="K128" i="3"/>
  <c r="J128" i="3"/>
  <c r="K129" i="3"/>
  <c r="J129" i="3"/>
  <c r="L129" i="3" s="1"/>
  <c r="K130" i="3"/>
  <c r="J130" i="3"/>
  <c r="L130" i="3" s="1"/>
  <c r="K131" i="3"/>
  <c r="J131" i="3"/>
  <c r="L131" i="3" s="1"/>
  <c r="K132" i="3"/>
  <c r="J132" i="3"/>
  <c r="L132" i="3" s="1"/>
  <c r="K133" i="3"/>
  <c r="J133" i="3"/>
  <c r="L133" i="3" s="1"/>
  <c r="K134" i="3"/>
  <c r="J134" i="3"/>
  <c r="L134" i="3" s="1"/>
  <c r="K135" i="3"/>
  <c r="J135" i="3"/>
  <c r="L135" i="3" s="1"/>
  <c r="K136" i="3"/>
  <c r="J136" i="3"/>
  <c r="L136" i="3" s="1"/>
  <c r="K137" i="3"/>
  <c r="J137" i="3"/>
  <c r="L137" i="3" s="1"/>
  <c r="K138" i="3"/>
  <c r="J138" i="3"/>
  <c r="L138" i="3" s="1"/>
  <c r="K139" i="3"/>
  <c r="J139" i="3"/>
  <c r="L139" i="3" s="1"/>
  <c r="K140" i="3"/>
  <c r="J140" i="3"/>
  <c r="L140" i="3" s="1"/>
  <c r="K141" i="3"/>
  <c r="J141" i="3"/>
  <c r="L141" i="3" s="1"/>
  <c r="K142" i="3"/>
  <c r="J142" i="3"/>
  <c r="L142" i="3" s="1"/>
  <c r="K143" i="3"/>
  <c r="J143" i="3"/>
  <c r="L143" i="3" s="1"/>
  <c r="K144" i="3"/>
  <c r="J144" i="3"/>
  <c r="L144" i="3" s="1"/>
  <c r="K145" i="3"/>
  <c r="J145" i="3"/>
  <c r="L145" i="3" s="1"/>
  <c r="K2" i="3"/>
  <c r="J2" i="3"/>
  <c r="H79" i="3"/>
  <c r="I79" i="3" s="1"/>
  <c r="H2" i="3"/>
  <c r="H129" i="3"/>
  <c r="I129" i="3" s="1"/>
  <c r="H122" i="3"/>
  <c r="I122" i="3" s="1"/>
  <c r="H15" i="3"/>
  <c r="I15" i="3" s="1"/>
  <c r="H20" i="3"/>
  <c r="I20" i="3" s="1"/>
  <c r="H74" i="3"/>
  <c r="I74" i="3" s="1"/>
  <c r="H75" i="3"/>
  <c r="I75" i="3" s="1"/>
  <c r="H76" i="3"/>
  <c r="I76" i="3" s="1"/>
  <c r="H116" i="3"/>
  <c r="I116" i="3" s="1"/>
  <c r="H119" i="3"/>
  <c r="I119" i="3" s="1"/>
  <c r="H135" i="3"/>
  <c r="I135" i="3" s="1"/>
  <c r="H92" i="3"/>
  <c r="I92" i="3" s="1"/>
  <c r="H16" i="3"/>
  <c r="I16" i="3" s="1"/>
  <c r="H18" i="3"/>
  <c r="I18" i="3" s="1"/>
  <c r="H21" i="3"/>
  <c r="I21" i="3" s="1"/>
  <c r="H46" i="3"/>
  <c r="I46" i="3" s="1"/>
  <c r="H14" i="3"/>
  <c r="I14" i="3" s="1"/>
  <c r="H17" i="3"/>
  <c r="I17" i="3" s="1"/>
  <c r="H19" i="3"/>
  <c r="I19" i="3" s="1"/>
  <c r="H22" i="3"/>
  <c r="I22" i="3" s="1"/>
  <c r="H77" i="3"/>
  <c r="I77" i="3" s="1"/>
  <c r="H78" i="3"/>
  <c r="I78" i="3" s="1"/>
  <c r="H4" i="3"/>
  <c r="I4" i="3" s="1"/>
  <c r="H6" i="3"/>
  <c r="I6" i="3" s="1"/>
  <c r="H8" i="3"/>
  <c r="I8" i="3" s="1"/>
  <c r="H10" i="3"/>
  <c r="I10" i="3" s="1"/>
  <c r="H12" i="3"/>
  <c r="I12" i="3" s="1"/>
  <c r="H23" i="3"/>
  <c r="I23" i="3" s="1"/>
  <c r="H24" i="3"/>
  <c r="I24" i="3" s="1"/>
  <c r="H25" i="3"/>
  <c r="I25" i="3" s="1"/>
  <c r="H27" i="3"/>
  <c r="I27" i="3" s="1"/>
  <c r="H28" i="3"/>
  <c r="I28" i="3" s="1"/>
  <c r="H29" i="3"/>
  <c r="I29" i="3" s="1"/>
  <c r="H31" i="3"/>
  <c r="I31" i="3" s="1"/>
  <c r="H32" i="3"/>
  <c r="I32" i="3" s="1"/>
  <c r="H34" i="3"/>
  <c r="I34" i="3" s="1"/>
  <c r="H38" i="3"/>
  <c r="I38" i="3" s="1"/>
  <c r="H42" i="3"/>
  <c r="I42" i="3" s="1"/>
  <c r="H56" i="3"/>
  <c r="I56" i="3" s="1"/>
  <c r="H60" i="3"/>
  <c r="I60" i="3" s="1"/>
  <c r="H62" i="3"/>
  <c r="I62" i="3" s="1"/>
  <c r="H66" i="3"/>
  <c r="I66" i="3" s="1"/>
  <c r="H68" i="3"/>
  <c r="I68" i="3" s="1"/>
  <c r="H71" i="3"/>
  <c r="I71" i="3" s="1"/>
  <c r="H73" i="3"/>
  <c r="I73" i="3" s="1"/>
  <c r="H85" i="3"/>
  <c r="I85" i="3" s="1"/>
  <c r="H121" i="3"/>
  <c r="I121" i="3" s="1"/>
  <c r="H133" i="3"/>
  <c r="I133" i="3" s="1"/>
  <c r="H47" i="3"/>
  <c r="I47" i="3" s="1"/>
  <c r="H48" i="3"/>
  <c r="I48" i="3" s="1"/>
  <c r="H49" i="3"/>
  <c r="I49" i="3" s="1"/>
  <c r="H50" i="3"/>
  <c r="I50" i="3" s="1"/>
  <c r="H51" i="3"/>
  <c r="I51" i="3" s="1"/>
  <c r="H52" i="3"/>
  <c r="I52" i="3" s="1"/>
  <c r="H53" i="3"/>
  <c r="I53" i="3" s="1"/>
  <c r="H54" i="3"/>
  <c r="I54" i="3" s="1"/>
  <c r="H55" i="3"/>
  <c r="I55" i="3" s="1"/>
  <c r="H57" i="3"/>
  <c r="I57" i="3" s="1"/>
  <c r="H65" i="3"/>
  <c r="I65" i="3" s="1"/>
  <c r="H67" i="3"/>
  <c r="I67" i="3" s="1"/>
  <c r="H70" i="3"/>
  <c r="I70" i="3" s="1"/>
  <c r="H80" i="3"/>
  <c r="I80" i="3" s="1"/>
  <c r="H81" i="3"/>
  <c r="I81" i="3" s="1"/>
  <c r="H82" i="3"/>
  <c r="I82" i="3" s="1"/>
  <c r="H125" i="3"/>
  <c r="I125" i="3" s="1"/>
  <c r="H93" i="3"/>
  <c r="I93" i="3" s="1"/>
  <c r="H94" i="3"/>
  <c r="I94" i="3" s="1"/>
  <c r="H95" i="3"/>
  <c r="I95" i="3" s="1"/>
  <c r="H96" i="3"/>
  <c r="I96" i="3" s="1"/>
  <c r="H97" i="3"/>
  <c r="I97" i="3" s="1"/>
  <c r="H98" i="3"/>
  <c r="I98" i="3" s="1"/>
  <c r="H99" i="3"/>
  <c r="I99" i="3" s="1"/>
  <c r="H100" i="3"/>
  <c r="I100" i="3" s="1"/>
  <c r="H101" i="3"/>
  <c r="I101" i="3" s="1"/>
  <c r="H102" i="3"/>
  <c r="I102" i="3" s="1"/>
  <c r="H103" i="3"/>
  <c r="I103" i="3" s="1"/>
  <c r="H104" i="3"/>
  <c r="I104" i="3" s="1"/>
  <c r="H105" i="3"/>
  <c r="I105" i="3" s="1"/>
  <c r="H106" i="3"/>
  <c r="I106" i="3" s="1"/>
  <c r="H107" i="3"/>
  <c r="I107" i="3" s="1"/>
  <c r="H108" i="3"/>
  <c r="I108" i="3" s="1"/>
  <c r="H109" i="3"/>
  <c r="I109" i="3" s="1"/>
  <c r="H110" i="3"/>
  <c r="I110" i="3" s="1"/>
  <c r="H111" i="3"/>
  <c r="I111" i="3" s="1"/>
  <c r="H112" i="3"/>
  <c r="I112" i="3" s="1"/>
  <c r="H113" i="3"/>
  <c r="I113" i="3" s="1"/>
  <c r="H114" i="3"/>
  <c r="I114" i="3" s="1"/>
  <c r="H115" i="3"/>
  <c r="I115" i="3" s="1"/>
  <c r="H117" i="3"/>
  <c r="I117" i="3" s="1"/>
  <c r="H124" i="3"/>
  <c r="I124" i="3" s="1"/>
  <c r="H132" i="3"/>
  <c r="I132" i="3" s="1"/>
  <c r="H138" i="3"/>
  <c r="I138" i="3" s="1"/>
  <c r="H139" i="3"/>
  <c r="I139" i="3" s="1"/>
  <c r="H140" i="3"/>
  <c r="I140" i="3" s="1"/>
  <c r="H141" i="3"/>
  <c r="I141" i="3" s="1"/>
  <c r="H142" i="3"/>
  <c r="I142" i="3" s="1"/>
  <c r="H143" i="3"/>
  <c r="I143" i="3" s="1"/>
  <c r="H144" i="3"/>
  <c r="I144" i="3" s="1"/>
  <c r="H145" i="3"/>
  <c r="I145" i="3" s="1"/>
  <c r="H118" i="3"/>
  <c r="I118" i="3" s="1"/>
  <c r="H123" i="3"/>
  <c r="I123" i="3" s="1"/>
  <c r="H126" i="3"/>
  <c r="I126" i="3" s="1"/>
  <c r="H128" i="3"/>
  <c r="I128" i="3" s="1"/>
  <c r="H130" i="3"/>
  <c r="I130" i="3" s="1"/>
  <c r="H137" i="3"/>
  <c r="I137" i="3" s="1"/>
  <c r="H3" i="3"/>
  <c r="I3" i="3" s="1"/>
  <c r="H5" i="3"/>
  <c r="I5" i="3" s="1"/>
  <c r="H7" i="3"/>
  <c r="I7" i="3" s="1"/>
  <c r="H9" i="3"/>
  <c r="I9" i="3" s="1"/>
  <c r="H11" i="3"/>
  <c r="I11" i="3" s="1"/>
  <c r="H13" i="3"/>
  <c r="I13" i="3" s="1"/>
  <c r="H26" i="3"/>
  <c r="I26" i="3" s="1"/>
  <c r="H30" i="3"/>
  <c r="I30" i="3" s="1"/>
  <c r="H33" i="3"/>
  <c r="I33" i="3" s="1"/>
  <c r="H35" i="3"/>
  <c r="I35" i="3" s="1"/>
  <c r="H37" i="3"/>
  <c r="I37" i="3" s="1"/>
  <c r="H39" i="3"/>
  <c r="I39" i="3" s="1"/>
  <c r="H41" i="3"/>
  <c r="I41" i="3" s="1"/>
  <c r="H43" i="3"/>
  <c r="I43" i="3" s="1"/>
  <c r="H45" i="3"/>
  <c r="I45" i="3" s="1"/>
  <c r="H58" i="3"/>
  <c r="I58" i="3" s="1"/>
  <c r="H63" i="3"/>
  <c r="I63" i="3" s="1"/>
  <c r="H86" i="3"/>
  <c r="I86" i="3" s="1"/>
  <c r="H87" i="3"/>
  <c r="I87" i="3" s="1"/>
  <c r="H88" i="3"/>
  <c r="I88" i="3" s="1"/>
  <c r="H89" i="3"/>
  <c r="I89" i="3" s="1"/>
  <c r="H90" i="3"/>
  <c r="I90" i="3" s="1"/>
  <c r="H91" i="3"/>
  <c r="I91" i="3" s="1"/>
  <c r="H127" i="3"/>
  <c r="I127" i="3" s="1"/>
  <c r="H131" i="3"/>
  <c r="I131" i="3" s="1"/>
  <c r="H134" i="3"/>
  <c r="I134" i="3" s="1"/>
  <c r="H36" i="3"/>
  <c r="I36" i="3" s="1"/>
  <c r="H40" i="3"/>
  <c r="I40" i="3" s="1"/>
  <c r="H44" i="3"/>
  <c r="I44" i="3" s="1"/>
  <c r="H59" i="3"/>
  <c r="I59" i="3" s="1"/>
  <c r="H61" i="3"/>
  <c r="I61" i="3" s="1"/>
  <c r="H64" i="3"/>
  <c r="I64" i="3" s="1"/>
  <c r="H69" i="3"/>
  <c r="I69" i="3" s="1"/>
  <c r="H72" i="3"/>
  <c r="I72" i="3" s="1"/>
  <c r="H83" i="3"/>
  <c r="I83" i="3" s="1"/>
  <c r="H84" i="3"/>
  <c r="I84" i="3" s="1"/>
  <c r="H120" i="3"/>
  <c r="I120" i="3" s="1"/>
  <c r="G61" i="1"/>
  <c r="C4" i="1"/>
  <c r="K61" i="1"/>
  <c r="J60" i="1"/>
  <c r="F60" i="1"/>
  <c r="I59" i="1"/>
  <c r="E59" i="1"/>
  <c r="I58" i="1"/>
  <c r="C58" i="1"/>
  <c r="G57" i="1"/>
  <c r="C57" i="1"/>
  <c r="G56" i="1"/>
  <c r="K55" i="1"/>
  <c r="G55" i="1"/>
  <c r="D55" i="1"/>
  <c r="H54" i="1"/>
  <c r="K53" i="1"/>
  <c r="F53" i="1"/>
  <c r="J52" i="1"/>
  <c r="E52" i="1"/>
  <c r="I51" i="1"/>
  <c r="D51" i="1"/>
  <c r="H50" i="1"/>
  <c r="C50" i="1"/>
  <c r="G49" i="1"/>
  <c r="J48" i="1"/>
  <c r="E48" i="1"/>
  <c r="J47" i="1"/>
  <c r="E47" i="1"/>
  <c r="I46" i="1"/>
  <c r="D46" i="1"/>
  <c r="H40" i="1"/>
  <c r="K39" i="1"/>
  <c r="G39" i="1"/>
  <c r="D35" i="1"/>
  <c r="H34" i="1"/>
  <c r="J33" i="1"/>
  <c r="E33" i="1"/>
  <c r="G32" i="1"/>
  <c r="J31" i="1"/>
  <c r="D31" i="1"/>
  <c r="G30" i="1"/>
  <c r="J29" i="1"/>
  <c r="D29" i="1"/>
  <c r="H28" i="1"/>
  <c r="J27" i="1"/>
  <c r="E27" i="1"/>
  <c r="H26" i="1"/>
  <c r="K25" i="1"/>
  <c r="E25" i="1"/>
  <c r="F5" i="1"/>
  <c r="D6" i="1"/>
  <c r="I6" i="1"/>
  <c r="F7" i="1"/>
  <c r="D8" i="1"/>
  <c r="I8" i="1"/>
  <c r="F14" i="1"/>
  <c r="E15" i="1"/>
  <c r="K15" i="1"/>
  <c r="H16" i="1"/>
  <c r="G17" i="1"/>
  <c r="D18" i="1"/>
  <c r="C19" i="1"/>
  <c r="J19" i="1"/>
  <c r="I4" i="1"/>
  <c r="K38" i="1"/>
  <c r="J38" i="1"/>
  <c r="I38" i="1"/>
  <c r="H38" i="1"/>
  <c r="G38" i="1"/>
  <c r="F38" i="1"/>
  <c r="E38" i="1"/>
  <c r="D38" i="1"/>
  <c r="C38" i="1"/>
  <c r="K37" i="1"/>
  <c r="J37" i="1"/>
  <c r="I37" i="1"/>
  <c r="H37" i="1"/>
  <c r="G37" i="1"/>
  <c r="F37" i="1"/>
  <c r="E37" i="1"/>
  <c r="D37" i="1"/>
  <c r="C37" i="1"/>
  <c r="K36" i="1"/>
  <c r="J36" i="1"/>
  <c r="I36" i="1"/>
  <c r="H36" i="1"/>
  <c r="G36" i="1"/>
  <c r="F36" i="1"/>
  <c r="E36" i="1"/>
  <c r="D36" i="1"/>
  <c r="C36" i="1"/>
  <c r="K35" i="1"/>
  <c r="J35" i="1"/>
  <c r="I35" i="1"/>
  <c r="H35" i="1"/>
  <c r="G35" i="1"/>
  <c r="F35" i="1"/>
  <c r="C35" i="1"/>
  <c r="F34" i="1"/>
  <c r="H33" i="1"/>
  <c r="C33" i="1"/>
  <c r="E32" i="1"/>
  <c r="I31" i="1"/>
  <c r="K30" i="1"/>
  <c r="F30" i="1"/>
  <c r="H29" i="1"/>
  <c r="C29" i="1"/>
  <c r="E28" i="1"/>
  <c r="I27" i="1"/>
  <c r="K26" i="1"/>
  <c r="F26" i="1"/>
  <c r="H25" i="1"/>
  <c r="C25" i="1"/>
  <c r="H5" i="1"/>
  <c r="E6" i="1"/>
  <c r="C7" i="1"/>
  <c r="I7" i="1"/>
  <c r="E8" i="1"/>
  <c r="K8" i="1"/>
  <c r="H14" i="1"/>
  <c r="G15" i="1"/>
  <c r="E16" i="1"/>
  <c r="C17" i="1"/>
  <c r="I17" i="1"/>
  <c r="F18" i="1"/>
  <c r="D19" i="1"/>
  <c r="K19" i="1"/>
  <c r="H4" i="1"/>
  <c r="C9" i="1"/>
  <c r="D9" i="1"/>
  <c r="E9" i="1"/>
  <c r="F9" i="1"/>
  <c r="G9" i="1"/>
  <c r="H9" i="1"/>
  <c r="I9" i="1"/>
  <c r="J9" i="1"/>
  <c r="K9" i="1"/>
  <c r="C10" i="1"/>
  <c r="D10" i="1"/>
  <c r="E10" i="1"/>
  <c r="F10" i="1"/>
  <c r="G10" i="1"/>
  <c r="H10" i="1"/>
  <c r="I10" i="1"/>
  <c r="J10" i="1"/>
  <c r="K10" i="1"/>
  <c r="C11" i="1"/>
  <c r="D11" i="1"/>
  <c r="E11" i="1"/>
  <c r="F11" i="1"/>
  <c r="G11" i="1"/>
  <c r="H11" i="1"/>
  <c r="I11" i="1"/>
  <c r="J11" i="1"/>
  <c r="K11" i="1"/>
  <c r="C12" i="1"/>
  <c r="D12" i="1"/>
  <c r="E12" i="1"/>
  <c r="F12" i="1"/>
  <c r="G12" i="1"/>
  <c r="H12" i="1"/>
  <c r="I12" i="1"/>
  <c r="J12" i="1"/>
  <c r="K12" i="1"/>
  <c r="C13" i="1"/>
  <c r="D13" i="1"/>
  <c r="E13" i="1"/>
  <c r="F13" i="1"/>
  <c r="G13" i="1"/>
  <c r="H13" i="1"/>
  <c r="I13" i="1"/>
  <c r="J13" i="1"/>
  <c r="C14" i="1"/>
  <c r="C15" i="1"/>
  <c r="C16" i="1"/>
  <c r="J16" i="1"/>
  <c r="J17" i="1"/>
  <c r="J18" i="1"/>
  <c r="H19" i="1"/>
  <c r="G4" i="1"/>
  <c r="F61" i="1"/>
  <c r="E61" i="1"/>
  <c r="H60" i="1"/>
  <c r="D60" i="1"/>
  <c r="G59" i="1"/>
  <c r="C59" i="1"/>
  <c r="F58" i="1"/>
  <c r="K57" i="1"/>
  <c r="E57" i="1"/>
  <c r="J56" i="1"/>
  <c r="C56" i="1"/>
  <c r="I54" i="1"/>
  <c r="D54" i="1"/>
  <c r="H53" i="1"/>
  <c r="C53" i="1"/>
  <c r="G52" i="1"/>
  <c r="K51" i="1"/>
  <c r="E51" i="1"/>
  <c r="J50" i="1"/>
  <c r="D50" i="1"/>
  <c r="H49" i="1"/>
  <c r="C49" i="1"/>
  <c r="G48" i="1"/>
  <c r="K47" i="1"/>
  <c r="F47" i="1"/>
  <c r="J46" i="1"/>
  <c r="E46" i="1"/>
  <c r="J40" i="1"/>
  <c r="E40" i="1"/>
  <c r="J39" i="1"/>
  <c r="E39" i="1"/>
  <c r="K34" i="1"/>
  <c r="C34" i="1"/>
  <c r="F33" i="1"/>
  <c r="I32" i="1"/>
  <c r="C32" i="1"/>
  <c r="F31" i="1"/>
  <c r="I30" i="1"/>
  <c r="C30" i="1"/>
  <c r="F29" i="1"/>
  <c r="I28" i="1"/>
  <c r="C28" i="1"/>
  <c r="F27" i="1"/>
  <c r="I26" i="1"/>
  <c r="C26" i="1"/>
  <c r="F25" i="1"/>
  <c r="E5" i="1"/>
  <c r="K5" i="1"/>
  <c r="H6" i="1"/>
  <c r="E7" i="1"/>
  <c r="K7" i="1"/>
  <c r="H8" i="1"/>
  <c r="D14" i="1"/>
  <c r="J14" i="1"/>
  <c r="I15" i="1"/>
  <c r="F16" i="1"/>
  <c r="E17" i="1"/>
  <c r="K17" i="1"/>
  <c r="I18" i="1"/>
  <c r="F19" i="1"/>
  <c r="E4" i="1"/>
  <c r="H61" i="1"/>
  <c r="K60" i="1"/>
  <c r="E60" i="1"/>
  <c r="J59" i="1"/>
  <c r="D59" i="1"/>
  <c r="H58" i="1"/>
  <c r="D58" i="1"/>
  <c r="H57" i="1"/>
  <c r="K56" i="1"/>
  <c r="F56" i="1"/>
  <c r="J55" i="1"/>
  <c r="F55" i="1"/>
  <c r="C55" i="1"/>
  <c r="G54" i="1"/>
  <c r="C54" i="1"/>
  <c r="G53" i="1"/>
  <c r="K52" i="1"/>
  <c r="F52" i="1"/>
  <c r="H51" i="1"/>
  <c r="C51" i="1"/>
  <c r="G50" i="1"/>
  <c r="K49" i="1"/>
  <c r="F49" i="1"/>
  <c r="K48" i="1"/>
  <c r="F48" i="1"/>
  <c r="I47" i="1"/>
  <c r="D47" i="1"/>
  <c r="H46" i="1"/>
  <c r="C46" i="1"/>
  <c r="G40" i="1"/>
  <c r="C40" i="1"/>
  <c r="F39" i="1"/>
  <c r="E35" i="1"/>
  <c r="G34" i="1"/>
  <c r="K33" i="1"/>
  <c r="D33" i="1"/>
  <c r="H32" i="1"/>
  <c r="K31" i="1"/>
  <c r="E31" i="1"/>
  <c r="H30" i="1"/>
  <c r="K29" i="1"/>
  <c r="E29" i="1"/>
  <c r="G28" i="1"/>
  <c r="K27" i="1"/>
  <c r="D27" i="1"/>
  <c r="G26" i="1"/>
  <c r="J25" i="1"/>
  <c r="D25" i="1"/>
  <c r="G5" i="1"/>
  <c r="C6" i="1"/>
  <c r="J6" i="1"/>
  <c r="G7" i="1"/>
  <c r="C8" i="1"/>
  <c r="J8" i="1"/>
  <c r="G14" i="1"/>
  <c r="D15" i="1"/>
  <c r="J15" i="1"/>
  <c r="I16" i="1"/>
  <c r="F17" i="1"/>
  <c r="E18" i="1"/>
  <c r="K18" i="1"/>
  <c r="I19" i="1"/>
  <c r="J4" i="1"/>
  <c r="J61" i="1"/>
  <c r="D61" i="1"/>
  <c r="I60" i="1"/>
  <c r="C60" i="1"/>
  <c r="H59" i="1"/>
  <c r="K58" i="1"/>
  <c r="G58" i="1"/>
  <c r="J57" i="1"/>
  <c r="F57" i="1"/>
  <c r="I56" i="1"/>
  <c r="E56" i="1"/>
  <c r="I55" i="1"/>
  <c r="K54" i="1"/>
  <c r="F54" i="1"/>
  <c r="J53" i="1"/>
  <c r="E53" i="1"/>
  <c r="I52" i="1"/>
  <c r="D52" i="1"/>
  <c r="J51" i="1"/>
  <c r="F51" i="1"/>
  <c r="I50" i="1"/>
  <c r="E50" i="1"/>
  <c r="I49" i="1"/>
  <c r="D49" i="1"/>
  <c r="H48" i="1"/>
  <c r="C48" i="1"/>
  <c r="G47" i="1"/>
  <c r="K46" i="1"/>
  <c r="G46" i="1"/>
  <c r="K40" i="1"/>
  <c r="F40" i="1"/>
  <c r="I39" i="1"/>
  <c r="D39" i="1"/>
  <c r="J34" i="1"/>
  <c r="D34" i="1"/>
  <c r="G33" i="1"/>
  <c r="J32" i="1"/>
  <c r="D32" i="1"/>
  <c r="G31" i="1"/>
  <c r="J30" i="1"/>
  <c r="D30" i="1"/>
  <c r="G29" i="1"/>
  <c r="J28" i="1"/>
  <c r="D28" i="1"/>
  <c r="G27" i="1"/>
  <c r="J26" i="1"/>
  <c r="D26" i="1"/>
  <c r="G25" i="1"/>
  <c r="D5" i="1"/>
  <c r="J5" i="1"/>
  <c r="G6" i="1"/>
  <c r="D7" i="1"/>
  <c r="J7" i="1"/>
  <c r="G8" i="1"/>
  <c r="E14" i="1"/>
  <c r="K14" i="1"/>
  <c r="H15" i="1"/>
  <c r="G16" i="1"/>
  <c r="D17" i="1"/>
  <c r="C18" i="1"/>
  <c r="H18" i="1"/>
  <c r="G19" i="1"/>
  <c r="F4" i="1"/>
  <c r="I61" i="1"/>
  <c r="C61" i="1"/>
  <c r="G60" i="1"/>
  <c r="K59" i="1"/>
  <c r="F59" i="1"/>
  <c r="J58" i="1"/>
  <c r="E58" i="1"/>
  <c r="I57" i="1"/>
  <c r="D57" i="1"/>
  <c r="H56" i="1"/>
  <c r="D56" i="1"/>
  <c r="H55" i="1"/>
  <c r="E55" i="1"/>
  <c r="J54" i="1"/>
  <c r="E54" i="1"/>
  <c r="I53" i="1"/>
  <c r="D53" i="1"/>
  <c r="H52" i="1"/>
  <c r="C52" i="1"/>
  <c r="G51" i="1"/>
  <c r="K50" i="1"/>
  <c r="F50" i="1"/>
  <c r="J49" i="1"/>
  <c r="E49" i="1"/>
  <c r="I48" i="1"/>
  <c r="D48" i="1"/>
  <c r="H47" i="1"/>
  <c r="C47" i="1"/>
  <c r="F46" i="1"/>
  <c r="I40" i="1"/>
  <c r="D40" i="1"/>
  <c r="H39" i="1"/>
  <c r="C39" i="1"/>
  <c r="I34" i="1"/>
  <c r="E34" i="1"/>
  <c r="I33" i="1"/>
  <c r="K32" i="1"/>
  <c r="F32" i="1"/>
  <c r="H31" i="1"/>
  <c r="C31" i="1"/>
  <c r="E30" i="1"/>
  <c r="I29" i="1"/>
  <c r="K28" i="1"/>
  <c r="F28" i="1"/>
  <c r="H27" i="1"/>
  <c r="C27" i="1"/>
  <c r="E26" i="1"/>
  <c r="I25" i="1"/>
  <c r="C5" i="1"/>
  <c r="I5" i="1"/>
  <c r="F6" i="1"/>
  <c r="K6" i="1"/>
  <c r="H7" i="1"/>
  <c r="F8" i="1"/>
  <c r="K13" i="1"/>
  <c r="I14" i="1"/>
  <c r="F15" i="1"/>
  <c r="D16" i="1"/>
  <c r="K16" i="1"/>
  <c r="H17" i="1"/>
  <c r="G18" i="1"/>
  <c r="E19" i="1"/>
  <c r="D4" i="1"/>
  <c r="K4" i="1"/>
  <c r="L96" i="3" l="1"/>
  <c r="L2" i="3"/>
  <c r="L44" i="3"/>
  <c r="L110" i="3"/>
  <c r="L66" i="3"/>
  <c r="L80" i="3"/>
  <c r="L62" i="3"/>
  <c r="L102" i="3"/>
  <c r="L108" i="3"/>
  <c r="L28" i="3"/>
  <c r="L90" i="3"/>
  <c r="L95" i="3"/>
  <c r="L109" i="3"/>
  <c r="L105" i="3"/>
  <c r="L120" i="3"/>
  <c r="L31" i="3"/>
  <c r="L46" i="3"/>
  <c r="L111" i="3"/>
  <c r="L43" i="3"/>
  <c r="L61" i="3"/>
  <c r="L82" i="3"/>
  <c r="L92" i="3"/>
  <c r="L29" i="3"/>
  <c r="L32" i="3"/>
  <c r="L23" i="3"/>
  <c r="L42" i="3"/>
  <c r="L89" i="3"/>
  <c r="L101" i="3"/>
  <c r="L93" i="3"/>
  <c r="L99" i="3"/>
  <c r="L26" i="3"/>
  <c r="L69" i="3"/>
  <c r="L98" i="3"/>
  <c r="L104" i="3"/>
  <c r="L100" i="3"/>
  <c r="L128" i="3"/>
  <c r="L55" i="3"/>
  <c r="L19" i="3"/>
  <c r="L24" i="3"/>
  <c r="L33" i="3"/>
  <c r="L34" i="3"/>
  <c r="L35" i="3"/>
  <c r="L37" i="3"/>
  <c r="L38" i="3"/>
  <c r="L39" i="3"/>
  <c r="L40" i="3"/>
  <c r="L41" i="3"/>
  <c r="L45" i="3"/>
  <c r="L49" i="3"/>
  <c r="L50" i="3"/>
  <c r="L56" i="3"/>
  <c r="L57" i="3"/>
  <c r="L58" i="3"/>
  <c r="L59" i="3"/>
  <c r="L60" i="3"/>
  <c r="L84" i="3"/>
  <c r="L85" i="3"/>
  <c r="L86" i="3"/>
  <c r="L87" i="3"/>
  <c r="L106" i="3"/>
  <c r="L112" i="3"/>
  <c r="L113" i="3"/>
  <c r="L114" i="3"/>
  <c r="L115" i="3"/>
  <c r="L116" i="3"/>
  <c r="L117" i="3"/>
  <c r="L118" i="3"/>
  <c r="L119" i="3"/>
  <c r="L11" i="3"/>
  <c r="L13" i="3"/>
  <c r="L16" i="3"/>
  <c r="L17" i="3"/>
  <c r="L7" i="3"/>
  <c r="L8" i="3"/>
  <c r="L9" i="3"/>
  <c r="L15" i="3"/>
  <c r="L21" i="3"/>
  <c r="L12" i="3"/>
  <c r="L5" i="3"/>
  <c r="L10" i="3"/>
  <c r="L14" i="3"/>
  <c r="L3" i="3"/>
  <c r="L4" i="3"/>
  <c r="I2" i="3"/>
  <c r="P3" i="3" s="1"/>
  <c r="Q10" i="3"/>
  <c r="Q9" i="3"/>
  <c r="Q7" i="3"/>
  <c r="Q8" i="3"/>
  <c r="M4" i="3"/>
  <c r="M3" i="3"/>
  <c r="M2" i="3"/>
  <c r="P18" i="3" l="1"/>
  <c r="P17" i="3"/>
  <c r="P16" i="3"/>
  <c r="P15" i="3"/>
  <c r="P14" i="3"/>
  <c r="P2" i="3"/>
  <c r="P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F8EB61-0E2F-4B5D-9763-D2F484B49ADA}" keepAlive="1" name="Abfrage - results" description="Verbindung mit der Abfrage 'results' in der Arbeitsmappe." type="5" refreshedVersion="8" background="1" saveData="1">
    <dbPr connection="Provider=Microsoft.Mashup.OleDb.1;Data Source=$Workbook$;Location=results;Extended Properties=&quot;&quot;" command="SELECT * FROM [results]"/>
  </connection>
</connections>
</file>

<file path=xl/sharedStrings.xml><?xml version="1.0" encoding="utf-8"?>
<sst xmlns="http://schemas.openxmlformats.org/spreadsheetml/2006/main" count="6410" uniqueCount="925">
  <si>
    <t>cell_id</t>
  </si>
  <si>
    <t>timestamp</t>
  </si>
  <si>
    <t>ecosystem</t>
  </si>
  <si>
    <t>A - private registry configuration</t>
  </si>
  <si>
    <t>B1 - package manager configuration</t>
  </si>
  <si>
    <t>B2 - version specifier</t>
  </si>
  <si>
    <t>C - pipeline operation type</t>
  </si>
  <si>
    <t>classification</t>
  </si>
  <si>
    <t>pk1_name</t>
  </si>
  <si>
    <t>pk1_version</t>
  </si>
  <si>
    <t>pk1_url</t>
  </si>
  <si>
    <t>pk2_name</t>
  </si>
  <si>
    <t>pk2_version</t>
  </si>
  <si>
    <t>pk2_url</t>
  </si>
  <si>
    <t>artifact_path</t>
  </si>
  <si>
    <t>git_commit</t>
  </si>
  <si>
    <t>github_run_id</t>
  </si>
  <si>
    <t>npm_A1a_B1a_B2a_C1a</t>
  </si>
  <si>
    <t>nodejs</t>
  </si>
  <si>
    <t>A1a</t>
  </si>
  <si>
    <t>B1a</t>
  </si>
  <si>
    <t>B2a</t>
  </si>
  <si>
    <t>C1a</t>
  </si>
  <si>
    <t>private_resolved</t>
  </si>
  <si>
    <t>xueting-thesis-event-jianding</t>
  </si>
  <si>
    <t>http://host.docker.internal:8081/repository/npm-group-public-first/xueting-thesis-event-jianding/-/xueting-thesis-event-jianding-1.0.0.tgz</t>
  </si>
  <si>
    <t>xueting-thesis-service-fasong</t>
  </si>
  <si>
    <t>http://host.docker.internal:8081/repository/npm-group-public-first/xueting-thesis-service-fasong/-/xueting-thesis-service-fasong-1.0.0.tgz</t>
  </si>
  <si>
    <t>automation_process/central_automated_pipeline/artifact_download/npm_A1a_B1a_B2a_C1a</t>
  </si>
  <si>
    <t>392d628e1a62a0ac3b0154c32f38e530fc871c0a</t>
  </si>
  <si>
    <t>npm_A1a_B1a_B2a_C1c</t>
  </si>
  <si>
    <t>C1c</t>
  </si>
  <si>
    <t>automation_process/central_automated_pipeline/artifact_download/npm_A1a_B1a_B2a_C1c</t>
  </si>
  <si>
    <t>npm_A1a_B1a_B2b_C1a</t>
  </si>
  <si>
    <t>B2b</t>
  </si>
  <si>
    <t>malicious_resolved</t>
  </si>
  <si>
    <t>http://host.docker.internal:8081/repository/npm-group-public-first/xueting-thesis-event-jianding/-/xueting-thesis-event-jianding-1.0.3.tgz</t>
  </si>
  <si>
    <t>http://host.docker.internal:8081/repository/npm-group-public-first/xueting-thesis-service-fasong/-/xueting-thesis-service-fasong-1.0.3.tgz</t>
  </si>
  <si>
    <t>automation_process/central_automated_pipeline/artifact_download/npm_A1a_B1a_B2b_C1a</t>
  </si>
  <si>
    <t>npm_A1a_B1a_B2b_C1c</t>
  </si>
  <si>
    <t>automation_process/central_automated_pipeline/artifact_download/npm_A1a_B1a_B2b_C1c</t>
  </si>
  <si>
    <t>npm_A1a_B1a_B2c_C1a</t>
  </si>
  <si>
    <t>B2c</t>
  </si>
  <si>
    <t>automation_process/central_automated_pipeline/artifact_download/npm_A1a_B1a_B2c_C1a</t>
  </si>
  <si>
    <t>npm_A1a_B1a_B2c_C1c</t>
  </si>
  <si>
    <t>automation_process/central_automated_pipeline/artifact_download/npm_A1a_B1a_B2c_C1c</t>
  </si>
  <si>
    <t>npm_A1a_B1b_B2a_C1a</t>
  </si>
  <si>
    <t>B1b</t>
  </si>
  <si>
    <t>resolution_error</t>
  </si>
  <si>
    <t/>
  </si>
  <si>
    <t>automation_process/central_automated_pipeline/artifact_download/npm_A1a_B1b_B2a_C1a</t>
  </si>
  <si>
    <t>npm_A1a_B1b_B2a_C1c</t>
  </si>
  <si>
    <t>automation_process/central_automated_pipeline/artifact_download/npm_A1a_B1b_B2a_C1c</t>
  </si>
  <si>
    <t>npm_A1a_B1b_B2b_C1a</t>
  </si>
  <si>
    <t>https://registry.npmjs.org/xueting-thesis-event-jianding/-/xueting-thesis-event-jianding-1.0.3.tgz</t>
  </si>
  <si>
    <t>https://registry.npmjs.org/xueting-thesis-service-fasong/-/xueting-thesis-service-fasong-1.0.3.tgz</t>
  </si>
  <si>
    <t>automation_process/central_automated_pipeline/artifact_download/npm_A1a_B1b_B2b_C1a</t>
  </si>
  <si>
    <t>npm_A1a_B1b_B2b_C1c</t>
  </si>
  <si>
    <t>automation_process/central_automated_pipeline/artifact_download/npm_A1a_B1b_B2b_C1c</t>
  </si>
  <si>
    <t>npm_A1a_B1b_B2c_C1a</t>
  </si>
  <si>
    <t>automation_process/central_automated_pipeline/artifact_download/npm_A1a_B1b_B2c_C1a</t>
  </si>
  <si>
    <t>npm_A1a_B1b_B2c_C1c</t>
  </si>
  <si>
    <t>automation_process/central_automated_pipeline/artifact_download/npm_A1a_B1b_B2c_C1c</t>
  </si>
  <si>
    <t>npm_A1a_B1c_B2a_C1a</t>
  </si>
  <si>
    <t>B1c</t>
  </si>
  <si>
    <t>automation_process/central_automated_pipeline/artifact_download/npm_A1a_B1c_B2a_C1a</t>
  </si>
  <si>
    <t>npm_A1a_B1c_B2a_C1c</t>
  </si>
  <si>
    <t>automation_process/central_automated_pipeline/artifact_download/npm_A1a_B1c_B2a_C1c</t>
  </si>
  <si>
    <t>npm_A1a_B1c_B2b_C1a</t>
  </si>
  <si>
    <t>http://host.docker.internal:8081/repository/npm-public-proxy/xueting-thesis-event-jianding/-/xueting-thesis-event-jianding-1.0.3.tgz</t>
  </si>
  <si>
    <t>http://host.docker.internal:8081/repository/npm-public-proxy/xueting-thesis-service-fasong/-/xueting-thesis-service-fasong-1.0.3.tgz</t>
  </si>
  <si>
    <t>automation_process/central_automated_pipeline/artifact_download/npm_A1a_B1c_B2b_C1a</t>
  </si>
  <si>
    <t>npm_A1a_B1c_B2b_C1c</t>
  </si>
  <si>
    <t>automation_process/central_automated_pipeline/artifact_download/npm_A1a_B1c_B2b_C1c</t>
  </si>
  <si>
    <t>npm_A1a_B1c_B2c_C1a</t>
  </si>
  <si>
    <t>automation_process/central_automated_pipeline/artifact_download/npm_A1a_B1c_B2c_C1a</t>
  </si>
  <si>
    <t>npm_A1a_B1c_B2c_C1c</t>
  </si>
  <si>
    <t>automation_process/central_automated_pipeline/artifact_download/npm_A1a_B1c_B2c_C1c</t>
  </si>
  <si>
    <t>npm_A1a_B1d_B2a_C1a</t>
  </si>
  <si>
    <t>B1d</t>
  </si>
  <si>
    <t>automation_process/central_automated_pipeline/artifact_download/npm_A1a_B1d_B2a_C1a</t>
  </si>
  <si>
    <t>npm_A1a_B1d_B2a_C1c</t>
  </si>
  <si>
    <t>automation_process/central_automated_pipeline/artifact_download/npm_A1a_B1d_B2a_C1c</t>
  </si>
  <si>
    <t>npm_A1a_B1d_B2b_C1a</t>
  </si>
  <si>
    <t>automation_process/central_automated_pipeline/artifact_download/npm_A1a_B1d_B2b_C1a</t>
  </si>
  <si>
    <t>npm_A1a_B1d_B2b_C1c</t>
  </si>
  <si>
    <t>automation_process/central_automated_pipeline/artifact_download/npm_A1a_B1d_B2b_C1c</t>
  </si>
  <si>
    <t>npm_A1a_B1d_B2c_C1a</t>
  </si>
  <si>
    <t>automation_process/central_automated_pipeline/artifact_download/npm_A1a_B1d_B2c_C1a</t>
  </si>
  <si>
    <t>npm_A1a_B1d_B2c_C1c</t>
  </si>
  <si>
    <t>automation_process/central_automated_pipeline/artifact_download/npm_A1a_B1d_B2c_C1c</t>
  </si>
  <si>
    <t>npm_A1b_B1a_B2a_C1a</t>
  </si>
  <si>
    <t>A1b</t>
  </si>
  <si>
    <t>http://host.docker.internal:8081/repository/npm-group-private-first/xueting-thesis-event-jianding/-/xueting-thesis-event-jianding-1.0.0.tgz</t>
  </si>
  <si>
    <t>http://host.docker.internal:8081/repository/npm-group-private-first/xueting-thesis-service-fasong/-/xueting-thesis-service-fasong-1.0.0.tgz</t>
  </si>
  <si>
    <t>automation_process/central_automated_pipeline/artifact_download/npm_A1b_B1a_B2a_C1a</t>
  </si>
  <si>
    <t>npm_A1b_B1a_B2a_C1c</t>
  </si>
  <si>
    <t>automation_process/central_automated_pipeline/artifact_download/npm_A1b_B1a_B2a_C1c</t>
  </si>
  <si>
    <t>npm_A1b_B1a_B2b_C1a</t>
  </si>
  <si>
    <t>http://host.docker.internal:8081/repository/npm-group-private-first/xueting-thesis-event-jianding/-/xueting-thesis-event-jianding-1.0.3.tgz</t>
  </si>
  <si>
    <t>http://host.docker.internal:8081/repository/npm-group-private-first/xueting-thesis-service-fasong/-/xueting-thesis-service-fasong-1.0.3.tgz</t>
  </si>
  <si>
    <t>automation_process/central_automated_pipeline/artifact_download/npm_A1b_B1a_B2b_C1a</t>
  </si>
  <si>
    <t>npm_A1b_B1a_B2b_C1c</t>
  </si>
  <si>
    <t>automation_process/central_automated_pipeline/artifact_download/npm_A1b_B1a_B2b_C1c</t>
  </si>
  <si>
    <t>npm_A1b_B1a_B2c_C1a</t>
  </si>
  <si>
    <t>automation_process/central_automated_pipeline/artifact_download/npm_A1b_B1a_B2c_C1a</t>
  </si>
  <si>
    <t>npm_A1b_B1a_B2c_C1c</t>
  </si>
  <si>
    <t>automation_process/central_automated_pipeline/artifact_download/npm_A1b_B1a_B2c_C1c</t>
  </si>
  <si>
    <t>npm_A1b_B1b_B2a_C1a</t>
  </si>
  <si>
    <t>automation_process/central_automated_pipeline/artifact_download/npm_A1b_B1b_B2a_C1a</t>
  </si>
  <si>
    <t>npm_A1b_B1b_B2a_C1c</t>
  </si>
  <si>
    <t>automation_process/central_automated_pipeline/artifact_download/npm_A1b_B1b_B2a_C1c</t>
  </si>
  <si>
    <t>npm_A1b_B1b_B2b_C1a</t>
  </si>
  <si>
    <t>automation_process/central_automated_pipeline/artifact_download/npm_A1b_B1b_B2b_C1a</t>
  </si>
  <si>
    <t>npm_A1b_B1b_B2b_C1c</t>
  </si>
  <si>
    <t>automation_process/central_automated_pipeline/artifact_download/npm_A1b_B1b_B2b_C1c</t>
  </si>
  <si>
    <t>npm_A1b_B1b_B2c_C1a</t>
  </si>
  <si>
    <t>automation_process/central_automated_pipeline/artifact_download/npm_A1b_B1b_B2c_C1a</t>
  </si>
  <si>
    <t>npm_A1b_B1b_B2c_C1c</t>
  </si>
  <si>
    <t>automation_process/central_automated_pipeline/artifact_download/npm_A1b_B1b_B2c_C1c</t>
  </si>
  <si>
    <t>npm_A1b_B1c_B2a_C1a</t>
  </si>
  <si>
    <t>automation_process/central_automated_pipeline/artifact_download/npm_A1b_B1c_B2a_C1a</t>
  </si>
  <si>
    <t>npm_A1b_B1c_B2a_C1c</t>
  </si>
  <si>
    <t>automation_process/central_automated_pipeline/artifact_download/npm_A1b_B1c_B2a_C1c</t>
  </si>
  <si>
    <t>npm_A1b_B1c_B2b_C1a</t>
  </si>
  <si>
    <t>automation_process/central_automated_pipeline/artifact_download/npm_A1b_B1c_B2b_C1a</t>
  </si>
  <si>
    <t>npm_A1b_B1c_B2b_C1c</t>
  </si>
  <si>
    <t>automation_process/central_automated_pipeline/artifact_download/npm_A1b_B1c_B2b_C1c</t>
  </si>
  <si>
    <t>npm_A1b_B1c_B2c_C1a</t>
  </si>
  <si>
    <t>automation_process/central_automated_pipeline/artifact_download/npm_A1b_B1c_B2c_C1a</t>
  </si>
  <si>
    <t>npm_A1b_B1c_B2c_C1c</t>
  </si>
  <si>
    <t>automation_process/central_automated_pipeline/artifact_download/npm_A1b_B1c_B2c_C1c</t>
  </si>
  <si>
    <t>npm_A1b_B1d_B2a_C1a</t>
  </si>
  <si>
    <t>automation_process/central_automated_pipeline/artifact_download/npm_A1b_B1d_B2a_C1a</t>
  </si>
  <si>
    <t>npm_A1b_B1d_B2a_C1c</t>
  </si>
  <si>
    <t>automation_process/central_automated_pipeline/artifact_download/npm_A1b_B1d_B2a_C1c</t>
  </si>
  <si>
    <t>npm_A1b_B1d_B2b_C1a</t>
  </si>
  <si>
    <t>automation_process/central_automated_pipeline/artifact_download/npm_A1b_B1d_B2b_C1a</t>
  </si>
  <si>
    <t>npm_A1b_B1d_B2b_C1c</t>
  </si>
  <si>
    <t>automation_process/central_automated_pipeline/artifact_download/npm_A1b_B1d_B2b_C1c</t>
  </si>
  <si>
    <t>npm_A1b_B1d_B2c_C1a</t>
  </si>
  <si>
    <t>automation_process/central_automated_pipeline/artifact_download/npm_A1b_B1d_B2c_C1a</t>
  </si>
  <si>
    <t>npm_A1b_B1d_B2c_C1c</t>
  </si>
  <si>
    <t>automation_process/central_automated_pipeline/artifact_download/npm_A1b_B1d_B2c_C1c</t>
  </si>
  <si>
    <t>npm_A2_B1a_B2a_C1a</t>
  </si>
  <si>
    <t>A2</t>
  </si>
  <si>
    <t>automation_process/central_automated_pipeline/artifact_download/npm_A2_B1a_B2a_C1a</t>
  </si>
  <si>
    <t>npm_A2_B1a_B2a_C1c</t>
  </si>
  <si>
    <t>automation_process/central_automated_pipeline/artifact_download/npm_A2_B1a_B2a_C1c</t>
  </si>
  <si>
    <t>npm_A2_B1a_B2b_C1a</t>
  </si>
  <si>
    <t>automation_process/central_automated_pipeline/artifact_download/npm_A2_B1a_B2b_C1a</t>
  </si>
  <si>
    <t>npm_A2_B1a_B2b_C1c</t>
  </si>
  <si>
    <t>automation_process/central_automated_pipeline/artifact_download/npm_A2_B1a_B2b_C1c</t>
  </si>
  <si>
    <t>npm_A2_B1a_B2c_C1a</t>
  </si>
  <si>
    <t>automation_process/central_automated_pipeline/artifact_download/npm_A2_B1a_B2c_C1a</t>
  </si>
  <si>
    <t>npm_A2_B1a_B2c_C1c</t>
  </si>
  <si>
    <t>automation_process/central_automated_pipeline/artifact_download/npm_A2_B1a_B2c_C1c</t>
  </si>
  <si>
    <t>npm_A2_B1b_B2a_C1a</t>
  </si>
  <si>
    <t>automation_process/central_automated_pipeline/artifact_download/npm_A2_B1b_B2a_C1a</t>
  </si>
  <si>
    <t>npm_A2_B1b_B2a_C1c</t>
  </si>
  <si>
    <t>automation_process/central_automated_pipeline/artifact_download/npm_A2_B1b_B2a_C1c</t>
  </si>
  <si>
    <t>npm_A2_B1b_B2b_C1a</t>
  </si>
  <si>
    <t>automation_process/central_automated_pipeline/artifact_download/npm_A2_B1b_B2b_C1a</t>
  </si>
  <si>
    <t>npm_A2_B1b_B2b_C1c</t>
  </si>
  <si>
    <t>automation_process/central_automated_pipeline/artifact_download/npm_A2_B1b_B2b_C1c</t>
  </si>
  <si>
    <t>npm_A2_B1b_B2c_C1a</t>
  </si>
  <si>
    <t>automation_process/central_automated_pipeline/artifact_download/npm_A2_B1b_B2c_C1a</t>
  </si>
  <si>
    <t>npm_A2_B1b_B2c_C1c</t>
  </si>
  <si>
    <t>automation_process/central_automated_pipeline/artifact_download/npm_A2_B1b_B2c_C1c</t>
  </si>
  <si>
    <t>npm_A2_B1c_B2a_C1a</t>
  </si>
  <si>
    <t>automation_process/central_automated_pipeline/artifact_download/npm_A2_B1c_B2a_C1a</t>
  </si>
  <si>
    <t>npm_A2_B1c_B2a_C1c</t>
  </si>
  <si>
    <t>automation_process/central_automated_pipeline/artifact_download/npm_A2_B1c_B2a_C1c</t>
  </si>
  <si>
    <t>npm_A2_B1c_B2b_C1a</t>
  </si>
  <si>
    <t>automation_process/central_automated_pipeline/artifact_download/npm_A2_B1c_B2b_C1a</t>
  </si>
  <si>
    <t>npm_A2_B1c_B2b_C1c</t>
  </si>
  <si>
    <t>automation_process/central_automated_pipeline/artifact_download/npm_A2_B1c_B2b_C1c</t>
  </si>
  <si>
    <t>npm_A2_B1c_B2c_C1a</t>
  </si>
  <si>
    <t>automation_process/central_automated_pipeline/artifact_download/npm_A2_B1c_B2c_C1a</t>
  </si>
  <si>
    <t>npm_A2_B1c_B2c_C1c</t>
  </si>
  <si>
    <t>automation_process/central_automated_pipeline/artifact_download/npm_A2_B1c_B2c_C1c</t>
  </si>
  <si>
    <t>npm_A2_B1d_B2a_C1a</t>
  </si>
  <si>
    <t>automation_process/central_automated_pipeline/artifact_download/npm_A2_B1d_B2a_C1a</t>
  </si>
  <si>
    <t>npm_A2_B1d_B2a_C1c</t>
  </si>
  <si>
    <t>automation_process/central_automated_pipeline/artifact_download/npm_A2_B1d_B2a_C1c</t>
  </si>
  <si>
    <t>npm_A2_B1d_B2b_C1a</t>
  </si>
  <si>
    <t>automation_process/central_automated_pipeline/artifact_download/npm_A2_B1d_B2b_C1a</t>
  </si>
  <si>
    <t>npm_A2_B1d_B2b_C1c</t>
  </si>
  <si>
    <t>automation_process/central_automated_pipeline/artifact_download/npm_A2_B1d_B2b_C1c</t>
  </si>
  <si>
    <t>npm_A2_B1d_B2c_C1a</t>
  </si>
  <si>
    <t>automation_process/central_automated_pipeline/artifact_download/npm_A2_B1d_B2c_C1a</t>
  </si>
  <si>
    <t>npm_A2_B1d_B2c_C1c</t>
  </si>
  <si>
    <t>automation_process/central_automated_pipeline/artifact_download/npm_A2_B1d_B2c_C1c</t>
  </si>
  <si>
    <t>npm_A3_B1a_B2a_C1a</t>
  </si>
  <si>
    <t>A3</t>
  </si>
  <si>
    <t>automation_process/central_automated_pipeline/artifact_download/npm_A3_B1a_B2a_C1a</t>
  </si>
  <si>
    <t>npm_A3_B1a_B2a_C1c</t>
  </si>
  <si>
    <t>automation_process/central_automated_pipeline/artifact_download/npm_A3_B1a_B2a_C1c</t>
  </si>
  <si>
    <t>npm_A3_B1a_B2b_C1a</t>
  </si>
  <si>
    <t>automation_process/central_automated_pipeline/artifact_download/npm_A3_B1a_B2b_C1a</t>
  </si>
  <si>
    <t>npm_A3_B1a_B2b_C1c</t>
  </si>
  <si>
    <t>automation_process/central_automated_pipeline/artifact_download/npm_A3_B1a_B2b_C1c</t>
  </si>
  <si>
    <t>npm_A3_B1a_B2c_C1a</t>
  </si>
  <si>
    <t>automation_process/central_automated_pipeline/artifact_download/npm_A3_B1a_B2c_C1a</t>
  </si>
  <si>
    <t>npm_A3_B1a_B2c_C1c</t>
  </si>
  <si>
    <t>automation_process/central_automated_pipeline/artifact_download/npm_A3_B1a_B2c_C1c</t>
  </si>
  <si>
    <t>npm_A3_B1b_B2a_C1a</t>
  </si>
  <si>
    <t>automation_process/central_automated_pipeline/artifact_download/npm_A3_B1b_B2a_C1a</t>
  </si>
  <si>
    <t>npm_A3_B1b_B2a_C1c</t>
  </si>
  <si>
    <t>automation_process/central_automated_pipeline/artifact_download/npm_A3_B1b_B2a_C1c</t>
  </si>
  <si>
    <t>npm_A3_B1b_B2b_C1a</t>
  </si>
  <si>
    <t>automation_process/central_automated_pipeline/artifact_download/npm_A3_B1b_B2b_C1a</t>
  </si>
  <si>
    <t>npm_A3_B1b_B2b_C1c</t>
  </si>
  <si>
    <t>automation_process/central_automated_pipeline/artifact_download/npm_A3_B1b_B2b_C1c</t>
  </si>
  <si>
    <t>npm_A3_B1b_B2c_C1a</t>
  </si>
  <si>
    <t>automation_process/central_automated_pipeline/artifact_download/npm_A3_B1b_B2c_C1a</t>
  </si>
  <si>
    <t>npm_A3_B1b_B2c_C1c</t>
  </si>
  <si>
    <t>automation_process/central_automated_pipeline/artifact_download/npm_A3_B1b_B2c_C1c</t>
  </si>
  <si>
    <t>npm_A3_B1d_B2a_C1a</t>
  </si>
  <si>
    <t>automation_process/central_automated_pipeline/artifact_download/npm_A3_B1d_B2a_C1a</t>
  </si>
  <si>
    <t>npm_A3_B1d_B2a_C1c</t>
  </si>
  <si>
    <t>automation_process/central_automated_pipeline/artifact_download/npm_A3_B1d_B2a_C1c</t>
  </si>
  <si>
    <t>npm_A3_B1d_B2b_C1a</t>
  </si>
  <si>
    <t>automation_process/central_automated_pipeline/artifact_download/npm_A3_B1d_B2b_C1a</t>
  </si>
  <si>
    <t>npm_A3_B1d_B2b_C1c</t>
  </si>
  <si>
    <t>automation_process/central_automated_pipeline/artifact_download/npm_A3_B1d_B2b_C1c</t>
  </si>
  <si>
    <t>npm_A3_B1d_B2c_C1a</t>
  </si>
  <si>
    <t>automation_process/central_automated_pipeline/artifact_download/npm_A3_B1d_B2c_C1a</t>
  </si>
  <si>
    <t>npm_A3_B1d_B2c_C1c</t>
  </si>
  <si>
    <t>automation_process/central_automated_pipeline/artifact_download/npm_A3_B1d_B2c_C1c</t>
  </si>
  <si>
    <t>pip_A1a_B1a_B2a_C1a</t>
  </si>
  <si>
    <t>python</t>
  </si>
  <si>
    <t>xueting-thesis-event-fengfu</t>
  </si>
  <si>
    <t>http://host.docker.internal:8081/repository/pypi-group-public-first/packages/xueting-thesis-event-fengfu/1.0.0/xueting_thesis_event_fengfu-1.0.0-py3-none-any.whl</t>
  </si>
  <si>
    <t>xueting-thesis-service-zhuanfa</t>
  </si>
  <si>
    <t>http://host.docker.internal:8081/repository/pypi-group-public-first/packages/xueting-thesis-service-zhuanfa/1.0.0/xueting_thesis_service_zhuanfa-1.0.0-py3-none-any.whl</t>
  </si>
  <si>
    <t>automation_process/central_automated_pipeline/artifact_download/pip_A1a_B1a_B2a_C1a</t>
  </si>
  <si>
    <t>pip_A1a_B1a_B2a_C1b</t>
  </si>
  <si>
    <t>C1b</t>
  </si>
  <si>
    <t>automation_process/central_automated_pipeline/artifact_download/pip_A1a_B1a_B2a_C1b</t>
  </si>
  <si>
    <t>pip_A1a_B1a_B2a_C1c</t>
  </si>
  <si>
    <t>automation_process/central_automated_pipeline/artifact_download/pip_A1a_B1a_B2a_C1c</t>
  </si>
  <si>
    <t>pip_A1a_B1a_B2b_C1a</t>
  </si>
  <si>
    <t>http://host.docker.internal:8081/repository/pypi-group-public-first/packages/xueting-thesis-event-fengfu/1.0.3/xueting_thesis_event_fengfu-1.0.3-py3-none-any.whl</t>
  </si>
  <si>
    <t>http://host.docker.internal:8081/repository/pypi-group-public-first/packages/xueting-thesis-service-zhuanfa/1.0.3/xueting_thesis_service_zhuanfa-1.0.3-py3-none-any.whl</t>
  </si>
  <si>
    <t>automation_process/central_automated_pipeline/artifact_download/pip_A1a_B1a_B2b_C1a</t>
  </si>
  <si>
    <t>pip_A1a_B1a_B2b_C1b</t>
  </si>
  <si>
    <t>automation_process/central_automated_pipeline/artifact_download/pip_A1a_B1a_B2b_C1b</t>
  </si>
  <si>
    <t>pip_A1a_B1a_B2b_C1c</t>
  </si>
  <si>
    <t>automation_process/central_automated_pipeline/artifact_download/pip_A1a_B1a_B2b_C1c</t>
  </si>
  <si>
    <t>pip_A1a_B1a_B2c_C1a</t>
  </si>
  <si>
    <t>automation_process/central_automated_pipeline/artifact_download/pip_A1a_B1a_B2c_C1a</t>
  </si>
  <si>
    <t>pip_A1a_B1a_B2c_C1b</t>
  </si>
  <si>
    <t>automation_process/central_automated_pipeline/artifact_download/pip_A1a_B1a_B2c_C1b</t>
  </si>
  <si>
    <t>pip_A1a_B1a_B2c_C1c</t>
  </si>
  <si>
    <t>automation_process/central_automated_pipeline/artifact_download/pip_A1a_B1a_B2c_C1c</t>
  </si>
  <si>
    <t>pip_A1a_B1b_B2a_C1a</t>
  </si>
  <si>
    <t>automation_process/central_automated_pipeline/artifact_download/pip_A1a_B1b_B2a_C1a</t>
  </si>
  <si>
    <t>pip_A1a_B1b_B2a_C1b</t>
  </si>
  <si>
    <t>automation_process/central_automated_pipeline/artifact_download/pip_A1a_B1b_B2a_C1b</t>
  </si>
  <si>
    <t>pip_A1a_B1b_B2a_C1c</t>
  </si>
  <si>
    <t>automation_process/central_automated_pipeline/artifact_download/pip_A1a_B1b_B2a_C1c</t>
  </si>
  <si>
    <t>pip_A1a_B1b_B2b_C1a</t>
  </si>
  <si>
    <t>https://files.pythonhosted.org/packages/4b/01/0a89ea47cb6ee40fc2520c2afb5f22da15d660b3f5baea7af80cff29b4f0/xueting_thesis_event_fengfu-1.0.3-py3-none-any.whl</t>
  </si>
  <si>
    <t>https://files.pythonhosted.org/packages/2f/4c/eb449db777e4dbf2c2f313d5ab24fe1ecf3ec7e0626fec642a2ee28d8352/xueting_thesis_service_zhuanfa-1.0.3-py3-none-any.whl</t>
  </si>
  <si>
    <t>automation_process/central_automated_pipeline/artifact_download/pip_A1a_B1b_B2b_C1a</t>
  </si>
  <si>
    <t>pip_A1a_B1b_B2b_C1b</t>
  </si>
  <si>
    <t>automation_process/central_automated_pipeline/artifact_download/pip_A1a_B1b_B2b_C1b</t>
  </si>
  <si>
    <t>pip_A1a_B1b_B2b_C1c</t>
  </si>
  <si>
    <t>automation_process/central_automated_pipeline/artifact_download/pip_A1a_B1b_B2b_C1c</t>
  </si>
  <si>
    <t>pip_A1a_B1b_B2c_C1a</t>
  </si>
  <si>
    <t>automation_process/central_automated_pipeline/artifact_download/pip_A1a_B1b_B2c_C1a</t>
  </si>
  <si>
    <t>pip_A1a_B1b_B2c_C1b</t>
  </si>
  <si>
    <t>automation_process/central_automated_pipeline/artifact_download/pip_A1a_B1b_B2c_C1b</t>
  </si>
  <si>
    <t>pip_A1a_B1b_B2c_C1c</t>
  </si>
  <si>
    <t>automation_process/central_automated_pipeline/artifact_download/pip_A1a_B1b_B2c_C1c</t>
  </si>
  <si>
    <t>pip_A1a_B1c_B2a_C1a</t>
  </si>
  <si>
    <t>automation_process/central_automated_pipeline/artifact_download/pip_A1a_B1c_B2a_C1a</t>
  </si>
  <si>
    <t>pip_A1a_B1c_B2a_C1b</t>
  </si>
  <si>
    <t>automation_process/central_automated_pipeline/artifact_download/pip_A1a_B1c_B2a_C1b</t>
  </si>
  <si>
    <t>pip_A1a_B1c_B2a_C1c</t>
  </si>
  <si>
    <t>automation_process/central_automated_pipeline/artifact_download/pip_A1a_B1c_B2a_C1c</t>
  </si>
  <si>
    <t>pip_A1a_B1c_B2b_C1a</t>
  </si>
  <si>
    <t>http://host.docker.internal:8081/repository/pypi-public-proxy/packages/xueting-thesis-event-fengfu/1.0.3/xueting_thesis_event_fengfu-1.0.3-py3-none-any.whl</t>
  </si>
  <si>
    <t>http://host.docker.internal:8081/repository/pypi-public-proxy/packages/xueting-thesis-service-zhuanfa/1.0.3/xueting_thesis_service_zhuanfa-1.0.3-py3-none-any.whl</t>
  </si>
  <si>
    <t>automation_process/central_automated_pipeline/artifact_download/pip_A1a_B1c_B2b_C1a</t>
  </si>
  <si>
    <t>pip_A1a_B1c_B2b_C1b</t>
  </si>
  <si>
    <t>automation_process/central_automated_pipeline/artifact_download/pip_A1a_B1c_B2b_C1b</t>
  </si>
  <si>
    <t>pip_A1a_B1c_B2b_C1c</t>
  </si>
  <si>
    <t>automation_process/central_automated_pipeline/artifact_download/pip_A1a_B1c_B2b_C1c</t>
  </si>
  <si>
    <t>pip_A1a_B1c_B2c_C1a</t>
  </si>
  <si>
    <t>automation_process/central_automated_pipeline/artifact_download/pip_A1a_B1c_B2c_C1a</t>
  </si>
  <si>
    <t>pip_A1a_B1c_B2c_C1b</t>
  </si>
  <si>
    <t>automation_process/central_automated_pipeline/artifact_download/pip_A1a_B1c_B2c_C1b</t>
  </si>
  <si>
    <t>pip_A1a_B1c_B2c_C1c</t>
  </si>
  <si>
    <t>automation_process/central_automated_pipeline/artifact_download/pip_A1a_B1c_B2c_C1c</t>
  </si>
  <si>
    <t>pip_A1a_B1d_B2a_C1a</t>
  </si>
  <si>
    <t>automation_process/central_automated_pipeline/artifact_download/pip_A1a_B1d_B2a_C1a</t>
  </si>
  <si>
    <t>pip_A1a_B1d_B2a_C1b</t>
  </si>
  <si>
    <t>automation_process/central_automated_pipeline/artifact_download/pip_A1a_B1d_B2a_C1b</t>
  </si>
  <si>
    <t>pip_A1a_B1d_B2a_C1c</t>
  </si>
  <si>
    <t>automation_process/central_automated_pipeline/artifact_download/pip_A1a_B1d_B2a_C1c</t>
  </si>
  <si>
    <t>pip_A1a_B1d_B2b_C1a</t>
  </si>
  <si>
    <t>automation_process/central_automated_pipeline/artifact_download/pip_A1a_B1d_B2b_C1a</t>
  </si>
  <si>
    <t>pip_A1a_B1d_B2b_C1b</t>
  </si>
  <si>
    <t>automation_process/central_automated_pipeline/artifact_download/pip_A1a_B1d_B2b_C1b</t>
  </si>
  <si>
    <t>pip_A1a_B1d_B2b_C1c</t>
  </si>
  <si>
    <t>automation_process/central_automated_pipeline/artifact_download/pip_A1a_B1d_B2b_C1c</t>
  </si>
  <si>
    <t>pip_A1a_B1d_B2c_C1a</t>
  </si>
  <si>
    <t>automation_process/central_automated_pipeline/artifact_download/pip_A1a_B1d_B2c_C1a</t>
  </si>
  <si>
    <t>pip_A1a_B1d_B2c_C1b</t>
  </si>
  <si>
    <t>automation_process/central_automated_pipeline/artifact_download/pip_A1a_B1d_B2c_C1b</t>
  </si>
  <si>
    <t>pip_A1a_B1d_B2c_C1c</t>
  </si>
  <si>
    <t>automation_process/central_automated_pipeline/artifact_download/pip_A1a_B1d_B2c_C1c</t>
  </si>
  <si>
    <t>pip_A1b_B1a_B2a_C1a</t>
  </si>
  <si>
    <t>http://host.docker.internal:8081/repository/pypi-group-private-first/packages/xueting-thesis-event-fengfu/1.0.0/xueting_thesis_event_fengfu-1.0.0-py3-none-any.whl</t>
  </si>
  <si>
    <t>http://host.docker.internal:8081/repository/pypi-group-private-first/packages/xueting-thesis-service-zhuanfa/1.0.0/xueting_thesis_service_zhuanfa-1.0.0-py3-none-any.whl</t>
  </si>
  <si>
    <t>automation_process/central_automated_pipeline/artifact_download/pip_A1b_B1a_B2a_C1a</t>
  </si>
  <si>
    <t>pip_A1b_B1a_B2a_C1b</t>
  </si>
  <si>
    <t>automation_process/central_automated_pipeline/artifact_download/pip_A1b_B1a_B2a_C1b</t>
  </si>
  <si>
    <t>pip_A1b_B1a_B2a_C1c</t>
  </si>
  <si>
    <t>automation_process/central_automated_pipeline/artifact_download/pip_A1b_B1a_B2a_C1c</t>
  </si>
  <si>
    <t>pip_A1b_B1a_B2b_C1a</t>
  </si>
  <si>
    <t>http://host.docker.internal:8081/repository/pypi-group-private-first/packages/xueting-thesis-event-fengfu/1.0.3/xueting_thesis_event_fengfu-1.0.3-py3-none-any.whl</t>
  </si>
  <si>
    <t>http://host.docker.internal:8081/repository/pypi-group-private-first/packages/xueting-thesis-service-zhuanfa/1.0.3/xueting_thesis_service_zhuanfa-1.0.3-py3-none-any.whl</t>
  </si>
  <si>
    <t>automation_process/central_automated_pipeline/artifact_download/pip_A1b_B1a_B2b_C1a</t>
  </si>
  <si>
    <t>pip_A1b_B1a_B2b_C1b</t>
  </si>
  <si>
    <t>automation_process/central_automated_pipeline/artifact_download/pip_A1b_B1a_B2b_C1b</t>
  </si>
  <si>
    <t>pip_A1b_B1a_B2b_C1c</t>
  </si>
  <si>
    <t>automation_process/central_automated_pipeline/artifact_download/pip_A1b_B1a_B2b_C1c</t>
  </si>
  <si>
    <t>pip_A1b_B1a_B2c_C1a</t>
  </si>
  <si>
    <t>automation_process/central_automated_pipeline/artifact_download/pip_A1b_B1a_B2c_C1a</t>
  </si>
  <si>
    <t>pip_A1b_B1a_B2c_C1b</t>
  </si>
  <si>
    <t>automation_process/central_automated_pipeline/artifact_download/pip_A1b_B1a_B2c_C1b</t>
  </si>
  <si>
    <t>pip_A1b_B1a_B2c_C1c</t>
  </si>
  <si>
    <t>automation_process/central_automated_pipeline/artifact_download/pip_A1b_B1a_B2c_C1c</t>
  </si>
  <si>
    <t>pip_A1b_B1b_B2a_C1a</t>
  </si>
  <si>
    <t>automation_process/central_automated_pipeline/artifact_download/pip_A1b_B1b_B2a_C1a</t>
  </si>
  <si>
    <t>pip_A1b_B1b_B2a_C1b</t>
  </si>
  <si>
    <t>automation_process/central_automated_pipeline/artifact_download/pip_A1b_B1b_B2a_C1b</t>
  </si>
  <si>
    <t>pip_A1b_B1b_B2a_C1c</t>
  </si>
  <si>
    <t>automation_process/central_automated_pipeline/artifact_download/pip_A1b_B1b_B2a_C1c</t>
  </si>
  <si>
    <t>pip_A1b_B1b_B2b_C1a</t>
  </si>
  <si>
    <t>automation_process/central_automated_pipeline/artifact_download/pip_A1b_B1b_B2b_C1a</t>
  </si>
  <si>
    <t>pip_A1b_B1b_B2b_C1b</t>
  </si>
  <si>
    <t>automation_process/central_automated_pipeline/artifact_download/pip_A1b_B1b_B2b_C1b</t>
  </si>
  <si>
    <t>pip_A1b_B1b_B2b_C1c</t>
  </si>
  <si>
    <t>automation_process/central_automated_pipeline/artifact_download/pip_A1b_B1b_B2b_C1c</t>
  </si>
  <si>
    <t>pip_A1b_B1b_B2c_C1a</t>
  </si>
  <si>
    <t>automation_process/central_automated_pipeline/artifact_download/pip_A1b_B1b_B2c_C1a</t>
  </si>
  <si>
    <t>pip_A1b_B1b_B2c_C1b</t>
  </si>
  <si>
    <t>automation_process/central_automated_pipeline/artifact_download/pip_A1b_B1b_B2c_C1b</t>
  </si>
  <si>
    <t>pip_A1b_B1b_B2c_C1c</t>
  </si>
  <si>
    <t>automation_process/central_automated_pipeline/artifact_download/pip_A1b_B1b_B2c_C1c</t>
  </si>
  <si>
    <t>pip_A1b_B1c_B2a_C1a</t>
  </si>
  <si>
    <t>automation_process/central_automated_pipeline/artifact_download/pip_A1b_B1c_B2a_C1a</t>
  </si>
  <si>
    <t>pip_A1b_B1c_B2a_C1b</t>
  </si>
  <si>
    <t>automation_process/central_automated_pipeline/artifact_download/pip_A1b_B1c_B2a_C1b</t>
  </si>
  <si>
    <t>pip_A1b_B1c_B2a_C1c</t>
  </si>
  <si>
    <t>automation_process/central_automated_pipeline/artifact_download/pip_A1b_B1c_B2a_C1c</t>
  </si>
  <si>
    <t>pip_A1b_B1c_B2b_C1a</t>
  </si>
  <si>
    <t>automation_process/central_automated_pipeline/artifact_download/pip_A1b_B1c_B2b_C1a</t>
  </si>
  <si>
    <t>pip_A1b_B1c_B2b_C1b</t>
  </si>
  <si>
    <t>automation_process/central_automated_pipeline/artifact_download/pip_A1b_B1c_B2b_C1b</t>
  </si>
  <si>
    <t>pip_A1b_B1c_B2b_C1c</t>
  </si>
  <si>
    <t>automation_process/central_automated_pipeline/artifact_download/pip_A1b_B1c_B2b_C1c</t>
  </si>
  <si>
    <t>pip_A1b_B1c_B2c_C1a</t>
  </si>
  <si>
    <t>automation_process/central_automated_pipeline/artifact_download/pip_A1b_B1c_B2c_C1a</t>
  </si>
  <si>
    <t>pip_A1b_B1c_B2c_C1b</t>
  </si>
  <si>
    <t>automation_process/central_automated_pipeline/artifact_download/pip_A1b_B1c_B2c_C1b</t>
  </si>
  <si>
    <t>pip_A1b_B1c_B2c_C1c</t>
  </si>
  <si>
    <t>automation_process/central_automated_pipeline/artifact_download/pip_A1b_B1c_B2c_C1c</t>
  </si>
  <si>
    <t>pip_A1b_B1d_B2a_C1a</t>
  </si>
  <si>
    <t>automation_process/central_automated_pipeline/artifact_download/pip_A1b_B1d_B2a_C1a</t>
  </si>
  <si>
    <t>pip_A1b_B1d_B2a_C1b</t>
  </si>
  <si>
    <t>automation_process/central_automated_pipeline/artifact_download/pip_A1b_B1d_B2a_C1b</t>
  </si>
  <si>
    <t>pip_A1b_B1d_B2a_C1c</t>
  </si>
  <si>
    <t>automation_process/central_automated_pipeline/artifact_download/pip_A1b_B1d_B2a_C1c</t>
  </si>
  <si>
    <t>pip_A1b_B1d_B2b_C1a</t>
  </si>
  <si>
    <t>automation_process/central_automated_pipeline/artifact_download/pip_A1b_B1d_B2b_C1a</t>
  </si>
  <si>
    <t>pip_A1b_B1d_B2b_C1b</t>
  </si>
  <si>
    <t>automation_process/central_automated_pipeline/artifact_download/pip_A1b_B1d_B2b_C1b</t>
  </si>
  <si>
    <t>pip_A1b_B1d_B2b_C1c</t>
  </si>
  <si>
    <t>automation_process/central_automated_pipeline/artifact_download/pip_A1b_B1d_B2b_C1c</t>
  </si>
  <si>
    <t>pip_A1b_B1d_B2c_C1a</t>
  </si>
  <si>
    <t>automation_process/central_automated_pipeline/artifact_download/pip_A1b_B1d_B2c_C1a</t>
  </si>
  <si>
    <t>pip_A1b_B1d_B2c_C1b</t>
  </si>
  <si>
    <t>automation_process/central_automated_pipeline/artifact_download/pip_A1b_B1d_B2c_C1b</t>
  </si>
  <si>
    <t>pip_A1b_B1d_B2c_C1c</t>
  </si>
  <si>
    <t>automation_process/central_automated_pipeline/artifact_download/pip_A1b_B1d_B2c_C1c</t>
  </si>
  <si>
    <t>pip_A2_B1a_B2a_C1a</t>
  </si>
  <si>
    <t>automation_process/central_automated_pipeline/artifact_download/pip_A2_B1a_B2a_C1a</t>
  </si>
  <si>
    <t>pip_A2_B1a_B2a_C1b</t>
  </si>
  <si>
    <t>automation_process/central_automated_pipeline/artifact_download/pip_A2_B1a_B2a_C1b</t>
  </si>
  <si>
    <t>pip_A2_B1a_B2a_C1c</t>
  </si>
  <si>
    <t>automation_process/central_automated_pipeline/artifact_download/pip_A2_B1a_B2a_C1c</t>
  </si>
  <si>
    <t>pip_A2_B1a_B2b_C1a</t>
  </si>
  <si>
    <t>automation_process/central_automated_pipeline/artifact_download/pip_A2_B1a_B2b_C1a</t>
  </si>
  <si>
    <t>pip_A2_B1a_B2b_C1b</t>
  </si>
  <si>
    <t>automation_process/central_automated_pipeline/artifact_download/pip_A2_B1a_B2b_C1b</t>
  </si>
  <si>
    <t>pip_A2_B1a_B2b_C1c</t>
  </si>
  <si>
    <t>automation_process/central_automated_pipeline/artifact_download/pip_A2_B1a_B2b_C1c</t>
  </si>
  <si>
    <t>pip_A2_B1a_B2c_C1a</t>
  </si>
  <si>
    <t>automation_process/central_automated_pipeline/artifact_download/pip_A2_B1a_B2c_C1a</t>
  </si>
  <si>
    <t>pip_A2_B1a_B2c_C1b</t>
  </si>
  <si>
    <t>automation_process/central_automated_pipeline/artifact_download/pip_A2_B1a_B2c_C1b</t>
  </si>
  <si>
    <t>pip_A2_B1a_B2c_C1c</t>
  </si>
  <si>
    <t>automation_process/central_automated_pipeline/artifact_download/pip_A2_B1a_B2c_C1c</t>
  </si>
  <si>
    <t>pip_A2_B1b_B2a_C1a</t>
  </si>
  <si>
    <t>http://host.docker.internal:8081/repository/pypi-internal-hosted/packages/xueting-thesis-event-fengfu/1.0.0/xueting_thesis_event_fengfu-1.0.0-py3-none-any.whl</t>
  </si>
  <si>
    <t>http://host.docker.internal:8081/repository/pypi-internal-hosted/packages/xueting-thesis-service-zhuanfa/1.0.0/xueting_thesis_service_zhuanfa-1.0.0-py3-none-any.whl</t>
  </si>
  <si>
    <t>automation_process/central_automated_pipeline/artifact_download/pip_A2_B1b_B2a_C1a</t>
  </si>
  <si>
    <t>pip_A2_B1b_B2a_C1b</t>
  </si>
  <si>
    <t>automation_process/central_automated_pipeline/artifact_download/pip_A2_B1b_B2a_C1b</t>
  </si>
  <si>
    <t>pip_A2_B1b_B2a_C1c</t>
  </si>
  <si>
    <t>automation_process/central_automated_pipeline/artifact_download/pip_A2_B1b_B2a_C1c</t>
  </si>
  <si>
    <t>pip_A2_B1b_B2b_C1a</t>
  </si>
  <si>
    <t>automation_process/central_automated_pipeline/artifact_download/pip_A2_B1b_B2b_C1a</t>
  </si>
  <si>
    <t>pip_A2_B1b_B2b_C1b</t>
  </si>
  <si>
    <t>automation_process/central_automated_pipeline/artifact_download/pip_A2_B1b_B2b_C1b</t>
  </si>
  <si>
    <t>pip_A2_B1b_B2b_C1c</t>
  </si>
  <si>
    <t>automation_process/central_automated_pipeline/artifact_download/pip_A2_B1b_B2b_C1c</t>
  </si>
  <si>
    <t>pip_A2_B1b_B2c_C1a</t>
  </si>
  <si>
    <t>automation_process/central_automated_pipeline/artifact_download/pip_A2_B1b_B2c_C1a</t>
  </si>
  <si>
    <t>pip_A2_B1b_B2c_C1b</t>
  </si>
  <si>
    <t>automation_process/central_automated_pipeline/artifact_download/pip_A2_B1b_B2c_C1b</t>
  </si>
  <si>
    <t>pip_A2_B1b_B2c_C1c</t>
  </si>
  <si>
    <t>automation_process/central_automated_pipeline/artifact_download/pip_A2_B1b_B2c_C1c</t>
  </si>
  <si>
    <t>pip_A2_B1c_B2a_C1a</t>
  </si>
  <si>
    <t>automation_process/central_automated_pipeline/artifact_download/pip_A2_B1c_B2a_C1a</t>
  </si>
  <si>
    <t>pip_A2_B1c_B2a_C1b</t>
  </si>
  <si>
    <t>automation_process/central_automated_pipeline/artifact_download/pip_A2_B1c_B2a_C1b</t>
  </si>
  <si>
    <t>pip_A2_B1c_B2a_C1c</t>
  </si>
  <si>
    <t>automation_process/central_automated_pipeline/artifact_download/pip_A2_B1c_B2a_C1c</t>
  </si>
  <si>
    <t>pip_A2_B1c_B2b_C1a</t>
  </si>
  <si>
    <t>automation_process/central_automated_pipeline/artifact_download/pip_A2_B1c_B2b_C1a</t>
  </si>
  <si>
    <t>pip_A2_B1c_B2b_C1b</t>
  </si>
  <si>
    <t>automation_process/central_automated_pipeline/artifact_download/pip_A2_B1c_B2b_C1b</t>
  </si>
  <si>
    <t>pip_A2_B1c_B2b_C1c</t>
  </si>
  <si>
    <t>automation_process/central_automated_pipeline/artifact_download/pip_A2_B1c_B2b_C1c</t>
  </si>
  <si>
    <t>pip_A2_B1c_B2c_C1a</t>
  </si>
  <si>
    <t>automation_process/central_automated_pipeline/artifact_download/pip_A2_B1c_B2c_C1a</t>
  </si>
  <si>
    <t>pip_A2_B1c_B2c_C1b</t>
  </si>
  <si>
    <t>automation_process/central_automated_pipeline/artifact_download/pip_A2_B1c_B2c_C1b</t>
  </si>
  <si>
    <t>pip_A2_B1c_B2c_C1c</t>
  </si>
  <si>
    <t>automation_process/central_automated_pipeline/artifact_download/pip_A2_B1c_B2c_C1c</t>
  </si>
  <si>
    <t>pip_A2_B1d_B2a_C1a</t>
  </si>
  <si>
    <t>automation_process/central_automated_pipeline/artifact_download/pip_A2_B1d_B2a_C1a</t>
  </si>
  <si>
    <t>pip_A2_B1d_B2a_C1b</t>
  </si>
  <si>
    <t>automation_process/central_automated_pipeline/artifact_download/pip_A2_B1d_B2a_C1b</t>
  </si>
  <si>
    <t>pip_A2_B1d_B2a_C1c</t>
  </si>
  <si>
    <t>automation_process/central_automated_pipeline/artifact_download/pip_A2_B1d_B2a_C1c</t>
  </si>
  <si>
    <t>pip_A2_B1d_B2b_C1a</t>
  </si>
  <si>
    <t>automation_process/central_automated_pipeline/artifact_download/pip_A2_B1d_B2b_C1a</t>
  </si>
  <si>
    <t>pip_A2_B1d_B2b_C1b</t>
  </si>
  <si>
    <t>automation_process/central_automated_pipeline/artifact_download/pip_A2_B1d_B2b_C1b</t>
  </si>
  <si>
    <t>pip_A2_B1d_B2b_C1c</t>
  </si>
  <si>
    <t>automation_process/central_automated_pipeline/artifact_download/pip_A2_B1d_B2b_C1c</t>
  </si>
  <si>
    <t>pip_A2_B1d_B2c_C1a</t>
  </si>
  <si>
    <t>automation_process/central_automated_pipeline/artifact_download/pip_A2_B1d_B2c_C1a</t>
  </si>
  <si>
    <t>pip_A2_B1d_B2c_C1b</t>
  </si>
  <si>
    <t>automation_process/central_automated_pipeline/artifact_download/pip_A2_B1d_B2c_C1b</t>
  </si>
  <si>
    <t>pip_A2_B1d_B2c_C1c</t>
  </si>
  <si>
    <t>automation_process/central_automated_pipeline/artifact_download/pip_A2_B1d_B2c_C1c</t>
  </si>
  <si>
    <t>pip_A3_B1a_B2a_C1a</t>
  </si>
  <si>
    <t>automation_process/central_automated_pipeline/artifact_download/pip_A3_B1a_B2a_C1a</t>
  </si>
  <si>
    <t>pip_A3_B1a_B2a_C1b</t>
  </si>
  <si>
    <t>automation_process/central_automated_pipeline/artifact_download/pip_A3_B1a_B2a_C1b</t>
  </si>
  <si>
    <t>pip_A3_B1a_B2a_C1c</t>
  </si>
  <si>
    <t>automation_process/central_automated_pipeline/artifact_download/pip_A3_B1a_B2a_C1c</t>
  </si>
  <si>
    <t>pip_A3_B1a_B2b_C1a</t>
  </si>
  <si>
    <t>automation_process/central_automated_pipeline/artifact_download/pip_A3_B1a_B2b_C1a</t>
  </si>
  <si>
    <t>pip_A3_B1a_B2b_C1b</t>
  </si>
  <si>
    <t>automation_process/central_automated_pipeline/artifact_download/pip_A3_B1a_B2b_C1b</t>
  </si>
  <si>
    <t>pip_A3_B1a_B2b_C1c</t>
  </si>
  <si>
    <t>automation_process/central_automated_pipeline/artifact_download/pip_A3_B1a_B2b_C1c</t>
  </si>
  <si>
    <t>pip_A3_B1a_B2c_C1a</t>
  </si>
  <si>
    <t>automation_process/central_automated_pipeline/artifact_download/pip_A3_B1a_B2c_C1a</t>
  </si>
  <si>
    <t>pip_A3_B1a_B2c_C1b</t>
  </si>
  <si>
    <t>automation_process/central_automated_pipeline/artifact_download/pip_A3_B1a_B2c_C1b</t>
  </si>
  <si>
    <t>pip_A3_B1a_B2c_C1c</t>
  </si>
  <si>
    <t>automation_process/central_automated_pipeline/artifact_download/pip_A3_B1a_B2c_C1c</t>
  </si>
  <si>
    <t>pip_A3_B1b_B2a_C1a</t>
  </si>
  <si>
    <t>automation_process/central_automated_pipeline/artifact_download/pip_A3_B1b_B2a_C1a</t>
  </si>
  <si>
    <t>pip_A3_B1b_B2a_C1b</t>
  </si>
  <si>
    <t>automation_process/central_automated_pipeline/artifact_download/pip_A3_B1b_B2a_C1b</t>
  </si>
  <si>
    <t>pip_A3_B1b_B2a_C1c</t>
  </si>
  <si>
    <t>automation_process/central_automated_pipeline/artifact_download/pip_A3_B1b_B2a_C1c</t>
  </si>
  <si>
    <t>pip_A3_B1b_B2b_C1a</t>
  </si>
  <si>
    <t>automation_process/central_automated_pipeline/artifact_download/pip_A3_B1b_B2b_C1a</t>
  </si>
  <si>
    <t>pip_A3_B1b_B2b_C1b</t>
  </si>
  <si>
    <t>automation_process/central_automated_pipeline/artifact_download/pip_A3_B1b_B2b_C1b</t>
  </si>
  <si>
    <t>pip_A3_B1b_B2b_C1c</t>
  </si>
  <si>
    <t>automation_process/central_automated_pipeline/artifact_download/pip_A3_B1b_B2b_C1c</t>
  </si>
  <si>
    <t>pip_A3_B1b_B2c_C1a</t>
  </si>
  <si>
    <t>automation_process/central_automated_pipeline/artifact_download/pip_A3_B1b_B2c_C1a</t>
  </si>
  <si>
    <t>pip_A3_B1b_B2c_C1b</t>
  </si>
  <si>
    <t>automation_process/central_automated_pipeline/artifact_download/pip_A3_B1b_B2c_C1b</t>
  </si>
  <si>
    <t>pip_A3_B1b_B2c_C1c</t>
  </si>
  <si>
    <t>automation_process/central_automated_pipeline/artifact_download/pip_A3_B1b_B2c_C1c</t>
  </si>
  <si>
    <t>pip_A3_B1d_B2a_C1a</t>
  </si>
  <si>
    <t>automation_process/central_automated_pipeline/artifact_download/pip_A3_B1d_B2a_C1a</t>
  </si>
  <si>
    <t>pip_A3_B1d_B2a_C1b</t>
  </si>
  <si>
    <t>automation_process/central_automated_pipeline/artifact_download/pip_A3_B1d_B2a_C1b</t>
  </si>
  <si>
    <t>pip_A3_B1d_B2a_C1c</t>
  </si>
  <si>
    <t>automation_process/central_automated_pipeline/artifact_download/pip_A3_B1d_B2a_C1c</t>
  </si>
  <si>
    <t>pip_A3_B1d_B2b_C1a</t>
  </si>
  <si>
    <t>automation_process/central_automated_pipeline/artifact_download/pip_A3_B1d_B2b_C1a</t>
  </si>
  <si>
    <t>pip_A3_B1d_B2b_C1b</t>
  </si>
  <si>
    <t>automation_process/central_automated_pipeline/artifact_download/pip_A3_B1d_B2b_C1b</t>
  </si>
  <si>
    <t>pip_A3_B1d_B2b_C1c</t>
  </si>
  <si>
    <t>automation_process/central_automated_pipeline/artifact_download/pip_A3_B1d_B2b_C1c</t>
  </si>
  <si>
    <t>pip_A3_B1d_B2c_C1a</t>
  </si>
  <si>
    <t>automation_process/central_automated_pipeline/artifact_download/pip_A3_B1d_B2c_C1a</t>
  </si>
  <si>
    <t>pip_A3_B1d_B2c_C1b</t>
  </si>
  <si>
    <t>automation_process/central_automated_pipeline/artifact_download/pip_A3_B1d_B2c_C1b</t>
  </si>
  <si>
    <t>pip_A3_B1d_B2c_C1c</t>
  </si>
  <si>
    <t>automation_process/central_automated_pipeline/artifact_download/pip_A3_B1d_B2c_C1c</t>
  </si>
  <si>
    <t>mvn_A1a_B1a_B2a_C1a</t>
  </si>
  <si>
    <t>java</t>
  </si>
  <si>
    <t>xueting-thesis-event-juhe</t>
  </si>
  <si>
    <t>http://host.docker.internal:8081/repository/maven-group-public-first/io/github/shirley1997/thesis/xueting-thesis-event-juhe/1.0.0/xueting-thesis-event-juhe-1.0.0.jar</t>
  </si>
  <si>
    <t>xueting-thesis-result-fanhui</t>
  </si>
  <si>
    <t>http://host.docker.internal:8081/repository/maven-group-public-first/io/github/shirley1997/thesis/xueting-thesis-result-fanhui/1.0.0/xueting-thesis-result-fanhui-1.0.0.jar</t>
  </si>
  <si>
    <t>automation_process/central_automated_pipeline/artifact_download/mvn_A1a_B1a_B2a_C1a</t>
  </si>
  <si>
    <t>mvn_A1a_B1a_B2a_C1b</t>
  </si>
  <si>
    <t>automation_process/central_automated_pipeline/artifact_download/mvn_A1a_B1a_B2a_C1b</t>
  </si>
  <si>
    <t>mvn_A1a_B1a_B2a_C1c</t>
  </si>
  <si>
    <t>automation_process/central_automated_pipeline/artifact_download/mvn_A1a_B1a_B2a_C1c</t>
  </si>
  <si>
    <t>mvn_A1a_B1a_B2b_C1a</t>
  </si>
  <si>
    <t>http://host.docker.internal:8081/repository/maven-group-public-first/io/github/shirley1997/thesis/xueting-thesis-event-juhe/1.0.3/xueting-thesis-event-juhe-1.0.3.jar</t>
  </si>
  <si>
    <t>http://host.docker.internal:8081/repository/maven-group-public-first/io/github/shirley1997/thesis/xueting-thesis-result-fanhui/1.0.3/xueting-thesis-result-fanhui-1.0.3.jar</t>
  </si>
  <si>
    <t>automation_process/central_automated_pipeline/artifact_download/mvn_A1a_B1a_B2b_C1a</t>
  </si>
  <si>
    <t>mvn_A1a_B1a_B2b_C1b</t>
  </si>
  <si>
    <t>automation_process/central_automated_pipeline/artifact_download/mvn_A1a_B1a_B2b_C1b</t>
  </si>
  <si>
    <t>mvn_A1a_B1a_B2b_C1c</t>
  </si>
  <si>
    <t>automation_process/central_automated_pipeline/artifact_download/mvn_A1a_B1a_B2b_C1c</t>
  </si>
  <si>
    <t>mvn_A1a_B1b_B2a_C1a</t>
  </si>
  <si>
    <t>automation_process/central_automated_pipeline/artifact_download/mvn_A1a_B1b_B2a_C1a</t>
  </si>
  <si>
    <t>mvn_A1a_B1b_B2a_C1b</t>
  </si>
  <si>
    <t>automation_process/central_automated_pipeline/artifact_download/mvn_A1a_B1b_B2a_C1b</t>
  </si>
  <si>
    <t>mvn_A1a_B1b_B2a_C1c</t>
  </si>
  <si>
    <t>automation_process/central_automated_pipeline/artifact_download/mvn_A1a_B1b_B2a_C1c</t>
  </si>
  <si>
    <t>mvn_A1a_B1b_B2b_C1a</t>
  </si>
  <si>
    <t>https://repo.maven.apache.org/maven2/io/github/shirley1997/thesis/xueting-thesis-event-juhe/1.0.3/xueting-thesis-event-juhe-1.0.3.jar</t>
  </si>
  <si>
    <t>https://repo.maven.apache.org/maven2/io/github/shirley1997/thesis/xueting-thesis-result-fanhui/1.0.3/xueting-thesis-result-fanhui-1.0.3.jar</t>
  </si>
  <si>
    <t>automation_process/central_automated_pipeline/artifact_download/mvn_A1a_B1b_B2b_C1a</t>
  </si>
  <si>
    <t>mvn_A1a_B1b_B2b_C1b</t>
  </si>
  <si>
    <t>automation_process/central_automated_pipeline/artifact_download/mvn_A1a_B1b_B2b_C1b</t>
  </si>
  <si>
    <t>mvn_A1a_B1b_B2b_C1c</t>
  </si>
  <si>
    <t>automation_process/central_automated_pipeline/artifact_download/mvn_A1a_B1b_B2b_C1c</t>
  </si>
  <si>
    <t>mvn_A1a_B1c_B2a_C1a</t>
  </si>
  <si>
    <t>automation_process/central_automated_pipeline/artifact_download/mvn_A1a_B1c_B2a_C1a</t>
  </si>
  <si>
    <t>mvn_A1a_B1c_B2a_C1b</t>
  </si>
  <si>
    <t>automation_process/central_automated_pipeline/artifact_download/mvn_A1a_B1c_B2a_C1b</t>
  </si>
  <si>
    <t>mvn_A1a_B1c_B2a_C1c</t>
  </si>
  <si>
    <t>automation_process/central_automated_pipeline/artifact_download/mvn_A1a_B1c_B2a_C1c</t>
  </si>
  <si>
    <t>mvn_A1a_B1c_B2b_C1a</t>
  </si>
  <si>
    <t>http://host.docker.internal:8081/repository/maven-public-proxy/io/github/shirley1997/thesis/xueting-thesis-event-juhe/1.0.3/xueting-thesis-event-juhe-1.0.3.jar</t>
  </si>
  <si>
    <t>http://host.docker.internal:8081/repository/maven-public-proxy/io/github/shirley1997/thesis/xueting-thesis-result-fanhui/1.0.3/xueting-thesis-result-fanhui-1.0.3.jar</t>
  </si>
  <si>
    <t>automation_process/central_automated_pipeline/artifact_download/mvn_A1a_B1c_B2b_C1a</t>
  </si>
  <si>
    <t>mvn_A1a_B1c_B2b_C1b</t>
  </si>
  <si>
    <t>automation_process/central_automated_pipeline/artifact_download/mvn_A1a_B1c_B2b_C1b</t>
  </si>
  <si>
    <t>mvn_A1a_B1c_B2b_C1c</t>
  </si>
  <si>
    <t>automation_process/central_automated_pipeline/artifact_download/mvn_A1a_B1c_B2b_C1c</t>
  </si>
  <si>
    <t>mvn_A1a_B1d_B2a_C1a</t>
  </si>
  <si>
    <t>automation_process/central_automated_pipeline/artifact_download/mvn_A1a_B1d_B2a_C1a</t>
  </si>
  <si>
    <t>mvn_A1a_B1d_B2a_C1b</t>
  </si>
  <si>
    <t>automation_process/central_automated_pipeline/artifact_download/mvn_A1a_B1d_B2a_C1b</t>
  </si>
  <si>
    <t>mvn_A1a_B1d_B2a_C1c</t>
  </si>
  <si>
    <t>automation_process/central_automated_pipeline/artifact_download/mvn_A1a_B1d_B2a_C1c</t>
  </si>
  <si>
    <t>mvn_A1a_B1d_B2b_C1a</t>
  </si>
  <si>
    <t>automation_process/central_automated_pipeline/artifact_download/mvn_A1a_B1d_B2b_C1a</t>
  </si>
  <si>
    <t>mvn_A1a_B1d_B2b_C1b</t>
  </si>
  <si>
    <t>automation_process/central_automated_pipeline/artifact_download/mvn_A1a_B1d_B2b_C1b</t>
  </si>
  <si>
    <t>mvn_A1a_B1d_B2b_C1c</t>
  </si>
  <si>
    <t>automation_process/central_automated_pipeline/artifact_download/mvn_A1a_B1d_B2b_C1c</t>
  </si>
  <si>
    <t>mvn_A1b_B1a_B2a_C1a</t>
  </si>
  <si>
    <t>http://host.docker.internal:8081/repository/maven-group-private-first/io/github/shirley1997/thesis/xueting-thesis-event-juhe/1.0.0/xueting-thesis-event-juhe-1.0.0.jar</t>
  </si>
  <si>
    <t>http://host.docker.internal:8081/repository/maven-group-private-first/io/github/shirley1997/thesis/xueting-thesis-result-fanhui/1.0.0/xueting-thesis-result-fanhui-1.0.0.jar</t>
  </si>
  <si>
    <t>automation_process/central_automated_pipeline/artifact_download/mvn_A1b_B1a_B2a_C1a</t>
  </si>
  <si>
    <t>mvn_A1b_B1a_B2a_C1b</t>
  </si>
  <si>
    <t>automation_process/central_automated_pipeline/artifact_download/mvn_A1b_B1a_B2a_C1b</t>
  </si>
  <si>
    <t>mvn_A1b_B1a_B2a_C1c</t>
  </si>
  <si>
    <t>automation_process/central_automated_pipeline/artifact_download/mvn_A1b_B1a_B2a_C1c</t>
  </si>
  <si>
    <t>mvn_A1b_B1a_B2b_C1a</t>
  </si>
  <si>
    <t>http://host.docker.internal:8081/repository/maven-group-private-first/io/github/shirley1997/thesis/xueting-thesis-event-juhe/1.0.3/xueting-thesis-event-juhe-1.0.3.jar</t>
  </si>
  <si>
    <t>http://host.docker.internal:8081/repository/maven-group-private-first/io/github/shirley1997/thesis/xueting-thesis-result-fanhui/1.0.3/xueting-thesis-result-fanhui-1.0.3.jar</t>
  </si>
  <si>
    <t>automation_process/central_automated_pipeline/artifact_download/mvn_A1b_B1a_B2b_C1a</t>
  </si>
  <si>
    <t>mvn_A1b_B1a_B2b_C1b</t>
  </si>
  <si>
    <t>automation_process/central_automated_pipeline/artifact_download/mvn_A1b_B1a_B2b_C1b</t>
  </si>
  <si>
    <t>mvn_A1b_B1a_B2b_C1c</t>
  </si>
  <si>
    <t>automation_process/central_automated_pipeline/artifact_download/mvn_A1b_B1a_B2b_C1c</t>
  </si>
  <si>
    <t>mvn_A1b_B1b_B2a_C1a</t>
  </si>
  <si>
    <t>automation_process/central_automated_pipeline/artifact_download/mvn_A1b_B1b_B2a_C1a</t>
  </si>
  <si>
    <t>mvn_A1b_B1b_B2a_C1b</t>
  </si>
  <si>
    <t>automation_process/central_automated_pipeline/artifact_download/mvn_A1b_B1b_B2a_C1b</t>
  </si>
  <si>
    <t>mvn_A1b_B1b_B2a_C1c</t>
  </si>
  <si>
    <t>automation_process/central_automated_pipeline/artifact_download/mvn_A1b_B1b_B2a_C1c</t>
  </si>
  <si>
    <t>mvn_A1b_B1b_B2b_C1a</t>
  </si>
  <si>
    <t>automation_process/central_automated_pipeline/artifact_download/mvn_A1b_B1b_B2b_C1a</t>
  </si>
  <si>
    <t>mvn_A1b_B1b_B2b_C1b</t>
  </si>
  <si>
    <t>automation_process/central_automated_pipeline/artifact_download/mvn_A1b_B1b_B2b_C1b</t>
  </si>
  <si>
    <t>mvn_A1b_B1b_B2b_C1c</t>
  </si>
  <si>
    <t>automation_process/central_automated_pipeline/artifact_download/mvn_A1b_B1b_B2b_C1c</t>
  </si>
  <si>
    <t>mvn_A1b_B1c_B2a_C1a</t>
  </si>
  <si>
    <t>automation_process/central_automated_pipeline/artifact_download/mvn_A1b_B1c_B2a_C1a</t>
  </si>
  <si>
    <t>mvn_A1b_B1c_B2a_C1b</t>
  </si>
  <si>
    <t>automation_process/central_automated_pipeline/artifact_download/mvn_A1b_B1c_B2a_C1b</t>
  </si>
  <si>
    <t>mvn_A1b_B1c_B2a_C1c</t>
  </si>
  <si>
    <t>automation_process/central_automated_pipeline/artifact_download/mvn_A1b_B1c_B2a_C1c</t>
  </si>
  <si>
    <t>mvn_A1b_B1c_B2b_C1a</t>
  </si>
  <si>
    <t>automation_process/central_automated_pipeline/artifact_download/mvn_A1b_B1c_B2b_C1a</t>
  </si>
  <si>
    <t>mvn_A1b_B1c_B2b_C1b</t>
  </si>
  <si>
    <t>automation_process/central_automated_pipeline/artifact_download/mvn_A1b_B1c_B2b_C1b</t>
  </si>
  <si>
    <t>mvn_A1b_B1c_B2b_C1c</t>
  </si>
  <si>
    <t>automation_process/central_automated_pipeline/artifact_download/mvn_A1b_B1c_B2b_C1c</t>
  </si>
  <si>
    <t>mvn_A1b_B1d_B2a_C1a</t>
  </si>
  <si>
    <t>automation_process/central_automated_pipeline/artifact_download/mvn_A1b_B1d_B2a_C1a</t>
  </si>
  <si>
    <t>mvn_A1b_B1d_B2a_C1b</t>
  </si>
  <si>
    <t>automation_process/central_automated_pipeline/artifact_download/mvn_A1b_B1d_B2a_C1b</t>
  </si>
  <si>
    <t>mvn_A1b_B1d_B2a_C1c</t>
  </si>
  <si>
    <t>automation_process/central_automated_pipeline/artifact_download/mvn_A1b_B1d_B2a_C1c</t>
  </si>
  <si>
    <t>mvn_A1b_B1d_B2b_C1a</t>
  </si>
  <si>
    <t>automation_process/central_automated_pipeline/artifact_download/mvn_A1b_B1d_B2b_C1a</t>
  </si>
  <si>
    <t>mvn_A1b_B1d_B2b_C1b</t>
  </si>
  <si>
    <t>automation_process/central_automated_pipeline/artifact_download/mvn_A1b_B1d_B2b_C1b</t>
  </si>
  <si>
    <t>mvn_A1b_B1d_B2b_C1c</t>
  </si>
  <si>
    <t>automation_process/central_automated_pipeline/artifact_download/mvn_A1b_B1d_B2b_C1c</t>
  </si>
  <si>
    <t>mvn_A2_B1a_B2a_C1a</t>
  </si>
  <si>
    <t>automation_process/central_automated_pipeline/artifact_download/mvn_A2_B1a_B2a_C1a</t>
  </si>
  <si>
    <t>mvn_A2_B1a_B2a_C1b</t>
  </si>
  <si>
    <t>http://host.docker.internal:8081/repository/maven-internal-hosted/io/github/shirley1997/thesis/xueting-thesis-event-juhe/1.0.0/xueting-thesis-event-juhe-1.0.0.jar</t>
  </si>
  <si>
    <t>http://host.docker.internal:8081/repository/maven-internal-hosted/io/github/shirley1997/thesis/xueting-thesis-result-fanhui/1.0.0/xueting-thesis-result-fanhui-1.0.0.jar</t>
  </si>
  <si>
    <t>automation_process/central_automated_pipeline/artifact_download/mvn_A2_B1a_B2a_C1b</t>
  </si>
  <si>
    <t>mvn_A2_B1a_B2a_C1c</t>
  </si>
  <si>
    <t>automation_process/central_automated_pipeline/artifact_download/mvn_A2_B1a_B2a_C1c</t>
  </si>
  <si>
    <t>mvn_A2_B1a_B2b_C1a</t>
  </si>
  <si>
    <t>automation_process/central_automated_pipeline/artifact_download/mvn_A2_B1a_B2b_C1a</t>
  </si>
  <si>
    <t>mvn_A2_B1a_B2b_C1b</t>
  </si>
  <si>
    <t>http://host.docker.internal:8081/repository/maven-internal-hosted/io/github/shirley1997/thesis/xueting-thesis-event-juhe/1.0.2/xueting-thesis-event-juhe-1.0.2.jar</t>
  </si>
  <si>
    <t>http://host.docker.internal:8081/repository/maven-internal-hosted/io/github/shirley1997/thesis/xueting-thesis-result-fanhui/1.0.2/xueting-thesis-result-fanhui-1.0.2.jar</t>
  </si>
  <si>
    <t>automation_process/central_automated_pipeline/artifact_download/mvn_A2_B1a_B2b_C1b</t>
  </si>
  <si>
    <t>mvn_A2_B1a_B2b_C1c</t>
  </si>
  <si>
    <t>automation_process/central_automated_pipeline/artifact_download/mvn_A2_B1a_B2b_C1c</t>
  </si>
  <si>
    <t>mvn_A2_B1b_B2a_C1a</t>
  </si>
  <si>
    <t>automation_process/central_automated_pipeline/artifact_download/mvn_A2_B1b_B2a_C1a</t>
  </si>
  <si>
    <t>mvn_A2_B1b_B2a_C1b</t>
  </si>
  <si>
    <t>automation_process/central_automated_pipeline/artifact_download/mvn_A2_B1b_B2a_C1b</t>
  </si>
  <si>
    <t>mvn_A2_B1b_B2a_C1c</t>
  </si>
  <si>
    <t>automation_process/central_automated_pipeline/artifact_download/mvn_A2_B1b_B2a_C1c</t>
  </si>
  <si>
    <t>mvn_A2_B1b_B2b_C1a</t>
  </si>
  <si>
    <t>automation_process/central_automated_pipeline/artifact_download/mvn_A2_B1b_B2b_C1a</t>
  </si>
  <si>
    <t>mvn_A2_B1b_B2b_C1b</t>
  </si>
  <si>
    <t>automation_process/central_automated_pipeline/artifact_download/mvn_A2_B1b_B2b_C1b</t>
  </si>
  <si>
    <t>mvn_A2_B1b_B2b_C1c</t>
  </si>
  <si>
    <t>automation_process/central_automated_pipeline/artifact_download/mvn_A2_B1b_B2b_C1c</t>
  </si>
  <si>
    <t>mvn_A2_B1c_B2a_C1a</t>
  </si>
  <si>
    <t>automation_process/central_automated_pipeline/artifact_download/mvn_A2_B1c_B2a_C1a</t>
  </si>
  <si>
    <t>mvn_A2_B1c_B2a_C1b</t>
  </si>
  <si>
    <t>automation_process/central_automated_pipeline/artifact_download/mvn_A2_B1c_B2a_C1b</t>
  </si>
  <si>
    <t>mvn_A2_B1c_B2a_C1c</t>
  </si>
  <si>
    <t>automation_process/central_automated_pipeline/artifact_download/mvn_A2_B1c_B2a_C1c</t>
  </si>
  <si>
    <t>mvn_A2_B1c_B2b_C1a</t>
  </si>
  <si>
    <t>automation_process/central_automated_pipeline/artifact_download/mvn_A2_B1c_B2b_C1a</t>
  </si>
  <si>
    <t>mvn_A2_B1c_B2b_C1b</t>
  </si>
  <si>
    <t>automation_process/central_automated_pipeline/artifact_download/mvn_A2_B1c_B2b_C1b</t>
  </si>
  <si>
    <t>mvn_A2_B1c_B2b_C1c</t>
  </si>
  <si>
    <t>automation_process/central_automated_pipeline/artifact_download/mvn_A2_B1c_B2b_C1c</t>
  </si>
  <si>
    <t>mvn_A2_B1d_B2a_C1a</t>
  </si>
  <si>
    <t>automation_process/central_automated_pipeline/artifact_download/mvn_A2_B1d_B2a_C1a</t>
  </si>
  <si>
    <t>mvn_A2_B1d_B2a_C1b</t>
  </si>
  <si>
    <t>automation_process/central_automated_pipeline/artifact_download/mvn_A2_B1d_B2a_C1b</t>
  </si>
  <si>
    <t>mvn_A2_B1d_B2a_C1c</t>
  </si>
  <si>
    <t>automation_process/central_automated_pipeline/artifact_download/mvn_A2_B1d_B2a_C1c</t>
  </si>
  <si>
    <t>mvn_A2_B1d_B2b_C1a</t>
  </si>
  <si>
    <t>automation_process/central_automated_pipeline/artifact_download/mvn_A2_B1d_B2b_C1a</t>
  </si>
  <si>
    <t>mvn_A2_B1d_B2b_C1b</t>
  </si>
  <si>
    <t>automation_process/central_automated_pipeline/artifact_download/mvn_A2_B1d_B2b_C1b</t>
  </si>
  <si>
    <t>mvn_A2_B1d_B2b_C1c</t>
  </si>
  <si>
    <t>automation_process/central_automated_pipeline/artifact_download/mvn_A2_B1d_B2b_C1c</t>
  </si>
  <si>
    <t>mvn_A3_B1a_B2a_C1a</t>
  </si>
  <si>
    <t>automation_process/central_automated_pipeline/artifact_download/mvn_A3_B1a_B2a_C1a</t>
  </si>
  <si>
    <t>mvn_A3_B1a_B2a_C1b</t>
  </si>
  <si>
    <t>automation_process/central_automated_pipeline/artifact_download/mvn_A3_B1a_B2a_C1b</t>
  </si>
  <si>
    <t>mvn_A3_B1a_B2a_C1c</t>
  </si>
  <si>
    <t>automation_process/central_automated_pipeline/artifact_download/mvn_A3_B1a_B2a_C1c</t>
  </si>
  <si>
    <t>mvn_A3_B1a_B2b_C1a</t>
  </si>
  <si>
    <t>automation_process/central_automated_pipeline/artifact_download/mvn_A3_B1a_B2b_C1a</t>
  </si>
  <si>
    <t>mvn_A3_B1a_B2b_C1b</t>
  </si>
  <si>
    <t>automation_process/central_automated_pipeline/artifact_download/mvn_A3_B1a_B2b_C1b</t>
  </si>
  <si>
    <t>mvn_A3_B1a_B2b_C1c</t>
  </si>
  <si>
    <t>automation_process/central_automated_pipeline/artifact_download/mvn_A3_B1a_B2b_C1c</t>
  </si>
  <si>
    <t>mvn_A3_B1b_B2a_C1a</t>
  </si>
  <si>
    <t>automation_process/central_automated_pipeline/artifact_download/mvn_A3_B1b_B2a_C1a</t>
  </si>
  <si>
    <t>mvn_A3_B1b_B2a_C1b</t>
  </si>
  <si>
    <t>automation_process/central_automated_pipeline/artifact_download/mvn_A3_B1b_B2a_C1b</t>
  </si>
  <si>
    <t>mvn_A3_B1b_B2a_C1c</t>
  </si>
  <si>
    <t>automation_process/central_automated_pipeline/artifact_download/mvn_A3_B1b_B2a_C1c</t>
  </si>
  <si>
    <t>mvn_A3_B1b_B2b_C1a</t>
  </si>
  <si>
    <t>automation_process/central_automated_pipeline/artifact_download/mvn_A3_B1b_B2b_C1a</t>
  </si>
  <si>
    <t>mvn_A3_B1b_B2b_C1b</t>
  </si>
  <si>
    <t>automation_process/central_automated_pipeline/artifact_download/mvn_A3_B1b_B2b_C1b</t>
  </si>
  <si>
    <t>mvn_A3_B1b_B2b_C1c</t>
  </si>
  <si>
    <t>automation_process/central_automated_pipeline/artifact_download/mvn_A3_B1b_B2b_C1c</t>
  </si>
  <si>
    <t>mvn_A3_B1d_B2a_C1a</t>
  </si>
  <si>
    <t>automation_process/central_automated_pipeline/artifact_download/mvn_A3_B1d_B2a_C1a</t>
  </si>
  <si>
    <t>mvn_A3_B1d_B2a_C1b</t>
  </si>
  <si>
    <t>automation_process/central_automated_pipeline/artifact_download/mvn_A3_B1d_B2a_C1b</t>
  </si>
  <si>
    <t>mvn_A3_B1d_B2a_C1c</t>
  </si>
  <si>
    <t>automation_process/central_automated_pipeline/artifact_download/mvn_A3_B1d_B2a_C1c</t>
  </si>
  <si>
    <t>mvn_A3_B1d_B2b_C1a</t>
  </si>
  <si>
    <t>automation_process/central_automated_pipeline/artifact_download/mvn_A3_B1d_B2b_C1a</t>
  </si>
  <si>
    <t>mvn_A3_B1d_B2b_C1b</t>
  </si>
  <si>
    <t>automation_process/central_automated_pipeline/artifact_download/mvn_A3_B1d_B2b_C1b</t>
  </si>
  <si>
    <t>mvn_A3_B1d_B2b_C1c</t>
  </si>
  <si>
    <t>automation_process/central_automated_pipeline/artifact_download/mvn_A3_B1d_B2b_C1c</t>
  </si>
  <si>
    <t>npm_A1a_B1a_B2a_C1b</t>
  </si>
  <si>
    <t>http://localhost:8081/repository/npm-group-public-first/xueting-thesis-event-jianding/-/xueting-thesis-event-jianding-1.0.0.tgz</t>
  </si>
  <si>
    <t>http://localhost:8081/repository/npm-group-public-first/xueting-thesis-service-fasong/-/xueting-thesis-service-fasong-1.0.0.tgz</t>
  </si>
  <si>
    <t>automation_process/central_automated_pipeline/artifact_download/npm_A1a_B1a_B2a_C1b</t>
  </si>
  <si>
    <t>50c95902180840b8aab596f694e5316b0c3d2f70</t>
  </si>
  <si>
    <t>npm_A1a_B1a_B2b_C1b</t>
  </si>
  <si>
    <t>automation_process/central_automated_pipeline/artifact_download/npm_A1a_B1a_B2b_C1b</t>
  </si>
  <si>
    <t>npm_A1a_B1a_B2c_C1b</t>
  </si>
  <si>
    <t>automation_process/central_automated_pipeline/artifact_download/npm_A1a_B1a_B2c_C1b</t>
  </si>
  <si>
    <t>npm_A1a_B1b_B2a_C1b</t>
  </si>
  <si>
    <t>automation_process/central_automated_pipeline/artifact_download/npm_A1a_B1b_B2a_C1b</t>
  </si>
  <si>
    <t>npm_A1a_B1b_B2b_C1b</t>
  </si>
  <si>
    <t>automation_process/central_automated_pipeline/artifact_download/npm_A1a_B1b_B2b_C1b</t>
  </si>
  <si>
    <t>npm_A1a_B1b_B2c_C1b</t>
  </si>
  <si>
    <t>automation_process/central_automated_pipeline/artifact_download/npm_A1a_B1b_B2c_C1b</t>
  </si>
  <si>
    <t>npm_A1a_B1c_B2a_C1b</t>
  </si>
  <si>
    <t>automation_process/central_automated_pipeline/artifact_download/npm_A1a_B1c_B2a_C1b</t>
  </si>
  <si>
    <t>npm_A1a_B1c_B2b_C1b</t>
  </si>
  <si>
    <t>automation_process/central_automated_pipeline/artifact_download/npm_A1a_B1c_B2b_C1b</t>
  </si>
  <si>
    <t>npm_A1a_B1c_B2c_C1b</t>
  </si>
  <si>
    <t>automation_process/central_automated_pipeline/artifact_download/npm_A1a_B1c_B2c_C1b</t>
  </si>
  <si>
    <t>npm_A1a_B1d_B2a_C1b</t>
  </si>
  <si>
    <t>automation_process/central_automated_pipeline/artifact_download/npm_A1a_B1d_B2a_C1b</t>
  </si>
  <si>
    <t>npm_A1a_B1d_B2b_C1b</t>
  </si>
  <si>
    <t>automation_process/central_automated_pipeline/artifact_download/npm_A1a_B1d_B2b_C1b</t>
  </si>
  <si>
    <t>npm_A1a_B1d_B2c_C1b</t>
  </si>
  <si>
    <t>automation_process/central_automated_pipeline/artifact_download/npm_A1a_B1d_B2c_C1b</t>
  </si>
  <si>
    <t>npm_A1b_B1a_B2a_C1b</t>
  </si>
  <si>
    <t>automation_process/central_automated_pipeline/artifact_download/npm_A1b_B1a_B2a_C1b</t>
  </si>
  <si>
    <t>npm_A1b_B1a_B2b_C1b</t>
  </si>
  <si>
    <t>automation_process/central_automated_pipeline/artifact_download/npm_A1b_B1a_B2b_C1b</t>
  </si>
  <si>
    <t>npm_A1b_B1a_B2c_C1b</t>
  </si>
  <si>
    <t>automation_process/central_automated_pipeline/artifact_download/npm_A1b_B1a_B2c_C1b</t>
  </si>
  <si>
    <t>npm_A1b_B1b_B2a_C1b</t>
  </si>
  <si>
    <t>automation_process/central_automated_pipeline/artifact_download/npm_A1b_B1b_B2a_C1b</t>
  </si>
  <si>
    <t>npm_A1b_B1b_B2b_C1b</t>
  </si>
  <si>
    <t>automation_process/central_automated_pipeline/artifact_download/npm_A1b_B1b_B2b_C1b</t>
  </si>
  <si>
    <t>npm_A1b_B1b_B2c_C1b</t>
  </si>
  <si>
    <t>automation_process/central_automated_pipeline/artifact_download/npm_A1b_B1b_B2c_C1b</t>
  </si>
  <si>
    <t>npm_A1b_B1c_B2a_C1b</t>
  </si>
  <si>
    <t>automation_process/central_automated_pipeline/artifact_download/npm_A1b_B1c_B2a_C1b</t>
  </si>
  <si>
    <t>npm_A1b_B1c_B2b_C1b</t>
  </si>
  <si>
    <t>automation_process/central_automated_pipeline/artifact_download/npm_A1b_B1c_B2b_C1b</t>
  </si>
  <si>
    <t>npm_A1b_B1c_B2c_C1b</t>
  </si>
  <si>
    <t>automation_process/central_automated_pipeline/artifact_download/npm_A1b_B1c_B2c_C1b</t>
  </si>
  <si>
    <t>npm_A1b_B1d_B2a_C1b</t>
  </si>
  <si>
    <t>automation_process/central_automated_pipeline/artifact_download/npm_A1b_B1d_B2a_C1b</t>
  </si>
  <si>
    <t>npm_A1b_B1d_B2b_C1b</t>
  </si>
  <si>
    <t>automation_process/central_automated_pipeline/artifact_download/npm_A1b_B1d_B2b_C1b</t>
  </si>
  <si>
    <t>npm_A1b_B1d_B2c_C1b</t>
  </si>
  <si>
    <t>automation_process/central_automated_pipeline/artifact_download/npm_A1b_B1d_B2c_C1b</t>
  </si>
  <si>
    <t>npm_A2_B1a_B2a_C1b</t>
  </si>
  <si>
    <t>automation_process/central_automated_pipeline/artifact_download/npm_A2_B1a_B2a_C1b</t>
  </si>
  <si>
    <t>npm_A2_B1a_B2b_C1b</t>
  </si>
  <si>
    <t>http://host.docker.internal:8081/repository/npm-internal-hosted/xueting-thesis-event-jianding/-/xueting-thesis-event-jianding-1.0.2.tgz</t>
  </si>
  <si>
    <t>http://host.docker.internal:8081/repository/npm-internal-hosted/xueting-thesis-service-fasong/-/xueting-thesis-service-fasong-1.0.2.tgz</t>
  </si>
  <si>
    <t>automation_process/central_automated_pipeline/artifact_download/npm_A2_B1a_B2b_C1b</t>
  </si>
  <si>
    <t>npm_A2_B1a_B2c_C1b</t>
  </si>
  <si>
    <t>automation_process/central_automated_pipeline/artifact_download/npm_A2_B1a_B2c_C1b</t>
  </si>
  <si>
    <t>npm_A2_B1b_B2a_C1b</t>
  </si>
  <si>
    <t>automation_process/central_automated_pipeline/artifact_download/npm_A2_B1b_B2a_C1b</t>
  </si>
  <si>
    <t>npm_A2_B1b_B2b_C1b</t>
  </si>
  <si>
    <t>automation_process/central_automated_pipeline/artifact_download/npm_A2_B1b_B2b_C1b</t>
  </si>
  <si>
    <t>npm_A2_B1b_B2c_C1b</t>
  </si>
  <si>
    <t>automation_process/central_automated_pipeline/artifact_download/npm_A2_B1b_B2c_C1b</t>
  </si>
  <si>
    <t>npm_A2_B1c_B2a_C1b</t>
  </si>
  <si>
    <t>automation_process/central_automated_pipeline/artifact_download/npm_A2_B1c_B2a_C1b</t>
  </si>
  <si>
    <t>npm_A2_B1c_B2b_C1b</t>
  </si>
  <si>
    <t>automation_process/central_automated_pipeline/artifact_download/npm_A2_B1c_B2b_C1b</t>
  </si>
  <si>
    <t>npm_A2_B1c_B2c_C1b</t>
  </si>
  <si>
    <t>automation_process/central_automated_pipeline/artifact_download/npm_A2_B1c_B2c_C1b</t>
  </si>
  <si>
    <t>npm_A2_B1d_B2a_C1b</t>
  </si>
  <si>
    <t>automation_process/central_automated_pipeline/artifact_download/npm_A2_B1d_B2a_C1b</t>
  </si>
  <si>
    <t>npm_A2_B1d_B2b_C1b</t>
  </si>
  <si>
    <t>automation_process/central_automated_pipeline/artifact_download/npm_A2_B1d_B2b_C1b</t>
  </si>
  <si>
    <t>npm_A2_B1d_B2c_C1b</t>
  </si>
  <si>
    <t>automation_process/central_automated_pipeline/artifact_download/npm_A2_B1d_B2c_C1b</t>
  </si>
  <si>
    <t>npm_A3_B1a_B2a_C1b</t>
  </si>
  <si>
    <t>automation_process/central_automated_pipeline/artifact_download/npm_A3_B1a_B2a_C1b</t>
  </si>
  <si>
    <t>npm_A3_B1a_B2b_C1b</t>
  </si>
  <si>
    <t>automation_process/central_automated_pipeline/artifact_download/npm_A3_B1a_B2b_C1b</t>
  </si>
  <si>
    <t>npm_A3_B1a_B2c_C1b</t>
  </si>
  <si>
    <t>automation_process/central_automated_pipeline/artifact_download/npm_A3_B1a_B2c_C1b</t>
  </si>
  <si>
    <t>npm_A3_B1b_B2a_C1b</t>
  </si>
  <si>
    <t>automation_process/central_automated_pipeline/artifact_download/npm_A3_B1b_B2a_C1b</t>
  </si>
  <si>
    <t>npm_A3_B1b_B2b_C1b</t>
  </si>
  <si>
    <t>automation_process/central_automated_pipeline/artifact_download/npm_A3_B1b_B2b_C1b</t>
  </si>
  <si>
    <t>npm_A3_B1b_B2c_C1b</t>
  </si>
  <si>
    <t>automation_process/central_automated_pipeline/artifact_download/npm_A3_B1b_B2c_C1b</t>
  </si>
  <si>
    <t>npm_A3_B1d_B2a_C1b</t>
  </si>
  <si>
    <t>automation_process/central_automated_pipeline/artifact_download/npm_A3_B1d_B2a_C1b</t>
  </si>
  <si>
    <t>npm_A3_B1d_B2b_C1b</t>
  </si>
  <si>
    <t>automation_process/central_automated_pipeline/artifact_download/npm_A3_B1d_B2b_C1b</t>
  </si>
  <si>
    <t>npm_A3_B1d_B2c_C1b</t>
  </si>
  <si>
    <t>automation_process/central_automated_pipeline/artifact_download/npm_A3_B1d_B2c_C1b</t>
  </si>
  <si>
    <t>npm_A3_B1c_B2a_C1a</t>
  </si>
  <si>
    <t>invalid_configuration</t>
  </si>
  <si>
    <t>npm_A3_B1c_B2a_C1b</t>
  </si>
  <si>
    <t>npm_A3_B1c_B2a_C1c</t>
  </si>
  <si>
    <t>npm_A3_B1c_B2b_C1a</t>
  </si>
  <si>
    <t>npm_A3_B1c_B2b_C1b</t>
  </si>
  <si>
    <t>npm_A3_B1c_B2b_C1c</t>
  </si>
  <si>
    <t>npm_A3_B1c_B2c_C1a</t>
  </si>
  <si>
    <t>npm_A3_B1c_B2c_C1b</t>
  </si>
  <si>
    <t>npm_A3_B1c_B2c_C1c</t>
  </si>
  <si>
    <t>pip_A3_B1c_B2a_C1a</t>
  </si>
  <si>
    <t>pip_A3_B1c_B2a_C1b</t>
  </si>
  <si>
    <t>pip_A3_B1c_B2a_C1c</t>
  </si>
  <si>
    <t>pip_A3_B1c_B2b_C1a</t>
  </si>
  <si>
    <t>pip_A3_B1c_B2b_C1b</t>
  </si>
  <si>
    <t>pip_A3_B1c_B2b_C1c</t>
  </si>
  <si>
    <t>pip_A3_B1c_B2c_C1a</t>
  </si>
  <si>
    <t>pip_A3_B1c_B2c_C1b</t>
  </si>
  <si>
    <t>pip_A3_B1c_B2c_C1c</t>
  </si>
  <si>
    <t>mvn_A1a_B1a_B2c_C1a</t>
  </si>
  <si>
    <t>mvn_A1a_B1a_B2c_C1b</t>
  </si>
  <si>
    <t>mvn_A1a_B1a_B2c_C1c</t>
  </si>
  <si>
    <t>mvn_A1a_B1b_B2c_C1a</t>
  </si>
  <si>
    <t>mvn_A1a_B1b_B2c_C1b</t>
  </si>
  <si>
    <t>mvn_A1a_B1b_B2c_C1c</t>
  </si>
  <si>
    <t>mvn_A1a_B1c_B2c_C1a</t>
  </si>
  <si>
    <t>mvn_A1a_B1c_B2c_C1b</t>
  </si>
  <si>
    <t>mvn_A1a_B1c_B2c_C1c</t>
  </si>
  <si>
    <t>mvn_A1a_B1d_B2c_C1a</t>
  </si>
  <si>
    <t>mvn_A1a_B1d_B2c_C1b</t>
  </si>
  <si>
    <t>mvn_A1a_B1d_B2c_C1c</t>
  </si>
  <si>
    <t>mvn_A1b_B1a_B2c_C1a</t>
  </si>
  <si>
    <t>mvn_A1b_B1a_B2c_C1b</t>
  </si>
  <si>
    <t>mvn_A1b_B1a_B2c_C1c</t>
  </si>
  <si>
    <t>mvn_A1b_B1b_B2c_C1a</t>
  </si>
  <si>
    <t>mvn_A1b_B1b_B2c_C1b</t>
  </si>
  <si>
    <t>mvn_A1b_B1b_B2c_C1c</t>
  </si>
  <si>
    <t>mvn_A1b_B1c_B2c_C1a</t>
  </si>
  <si>
    <t>mvn_A1b_B1c_B2c_C1b</t>
  </si>
  <si>
    <t>mvn_A1b_B1c_B2c_C1c</t>
  </si>
  <si>
    <t>mvn_A1b_B1d_B2c_C1a</t>
  </si>
  <si>
    <t>mvn_A1b_B1d_B2c_C1b</t>
  </si>
  <si>
    <t>mvn_A1b_B1d_B2c_C1c</t>
  </si>
  <si>
    <t>mvn_A2_B1a_B2c_C1a</t>
  </si>
  <si>
    <t>mvn_A2_B1a_B2c_C1b</t>
  </si>
  <si>
    <t>mvn_A2_B1a_B2c_C1c</t>
  </si>
  <si>
    <t>mvn_A2_B1b_B2c_C1a</t>
  </si>
  <si>
    <t>mvn_A2_B1b_B2c_C1b</t>
  </si>
  <si>
    <t>mvn_A2_B1b_B2c_C1c</t>
  </si>
  <si>
    <t>mvn_A2_B1c_B2c_C1a</t>
  </si>
  <si>
    <t>mvn_A2_B1c_B2c_C1b</t>
  </si>
  <si>
    <t>mvn_A2_B1c_B2c_C1c</t>
  </si>
  <si>
    <t>mvn_A2_B1d_B2c_C1a</t>
  </si>
  <si>
    <t>mvn_A2_B1d_B2c_C1b</t>
  </si>
  <si>
    <t>mvn_A2_B1d_B2c_C1c</t>
  </si>
  <si>
    <t>mvn_A3_B1a_B2c_C1a</t>
  </si>
  <si>
    <t>mvn_A3_B1a_B2c_C1b</t>
  </si>
  <si>
    <t>mvn_A3_B1a_B2c_C1c</t>
  </si>
  <si>
    <t>mvn_A3_B1b_B2c_C1a</t>
  </si>
  <si>
    <t>mvn_A3_B1b_B2c_C1b</t>
  </si>
  <si>
    <t>mvn_A3_B1b_B2c_C1c</t>
  </si>
  <si>
    <t>mvn_A3_B1c_B2a_C1a</t>
  </si>
  <si>
    <t>mvn_A3_B1c_B2a_C1b</t>
  </si>
  <si>
    <t>mvn_A3_B1c_B2a_C1c</t>
  </si>
  <si>
    <t>mvn_A3_B1c_B2b_C1a</t>
  </si>
  <si>
    <t>mvn_A3_B1c_B2b_C1b</t>
  </si>
  <si>
    <t>mvn_A3_B1c_B2b_C1c</t>
  </si>
  <si>
    <t>mvn_A3_B1c_B2c_C1a</t>
  </si>
  <si>
    <t>mvn_A3_B1c_B2c_C1b</t>
  </si>
  <si>
    <t>mvn_A3_B1c_B2c_C1c</t>
  </si>
  <si>
    <t>mvn_A3_B1d_B2c_C1a</t>
  </si>
  <si>
    <t>mvn_A3_B1d_B2c_C1b</t>
  </si>
  <si>
    <t>mvn_A3_B1d_B2c_C1c</t>
  </si>
  <si>
    <t>key</t>
  </si>
  <si>
    <t>code</t>
  </si>
  <si>
    <t>agreement</t>
  </si>
  <si>
    <t>agree</t>
  </si>
  <si>
    <t>disagree</t>
  </si>
  <si>
    <t>not comparable</t>
  </si>
  <si>
    <t>invalid cells are also counted, need to be filtered</t>
  </si>
  <si>
    <t>npm alone has different result (in 39 rows)</t>
  </si>
  <si>
    <t>pip alone has different result (in 39 rows)</t>
  </si>
  <si>
    <t>maven alone has different result (in 39 rows)</t>
  </si>
  <si>
    <t>group 1</t>
  </si>
  <si>
    <t>group 2</t>
  </si>
  <si>
    <t>group 3</t>
  </si>
  <si>
    <t>group 4</t>
  </si>
  <si>
    <t>my "id=central design" decision. Under A3 × B1a (C1a/C1c), Maven can also see real Maven Central because the repository ID is not "central", so it resolves 1.0.0 (B2a) or 1.0.3 (B2b) while npm and pip cannot find the public dependencies and break.</t>
  </si>
  <si>
    <t xml:space="preserve"> (pip C1b phase 1). Under B1d × B2b/B2c × C1b, pip alone has result resolution_error because the setup phase cannot obtain 1.0.0 from PyPI, so the update phase later never ran; the same configuration is malicious_resolved under C1a and C1c.</t>
  </si>
  <si>
    <t>C1b (package update) completes only for npm and Maven. Under A2/A3 × B1a × C1b, pip fails as it does in C1a/C1c (public dependencies unreachable), while npm completes because npm update re-resolves only the two named internal packages (npm property), in Maven cases,  because the public dependencies come from the ~/.m2 cache filled in phase 1 . the A3 × B2b row additionally shows the group-2 "central leak" (malicious_resolved).</t>
  </si>
  <si>
    <t>C1a ≡ C1c</t>
  </si>
  <si>
    <t>npm B1b ≡ B1d</t>
  </si>
  <si>
    <t>npm B1c ≡ B1b</t>
  </si>
  <si>
    <t>A1a ≡ A1b</t>
  </si>
  <si>
    <t>in result sheet</t>
  </si>
  <si>
    <t>Column T C1a ≡ C1c</t>
  </si>
  <si>
    <t>Column U npm B1b ≡ B1d</t>
  </si>
  <si>
    <t>Column V: npm B1c ≡ B1b</t>
  </si>
  <si>
    <t>for npm, configuring two registries (B1b, B1c) gives the same result as the default (B1d) in every A (a design choice), B2, C1: the pointwise proof of the last-key-wins finding. (Same result, but not the same delivery path, B1c goes through the Nexus proxy.)</t>
  </si>
  <si>
    <t>Column W: A1a ≡ A1b</t>
  </si>
  <si>
    <t>already checked</t>
  </si>
  <si>
    <t xml:space="preserve">take every pair of cells that are identical in every variable and differ only in C1a vs C1c: all 144 such pairs have the same result. a fresh install and a rebuild from the existing lockfile never differ. the only operation type that ever behaves differently is C1b (and every C1b difference was traced to phase 1 </t>
  </si>
  <si>
    <t>valid_cell in this row</t>
  </si>
  <si>
    <t>count malicious_resolved in this row</t>
  </si>
  <si>
    <t>system-level</t>
  </si>
  <si>
    <t>counting system result analysis</t>
  </si>
  <si>
    <t>0 compromised</t>
  </si>
  <si>
    <t>partly compromised</t>
  </si>
  <si>
    <t>all compromised</t>
  </si>
  <si>
    <t>all invalid cells</t>
  </si>
  <si>
    <t>npm property. Under B2a with B1b/B1c, npm alone has result resolution_error because its last-line-wins .npmrc makes it query only the public registry, where 1.0.0 does not exist, while pip and Maven can reach both registries and find 1.0.0 in Nexus repo</t>
  </si>
  <si>
    <t>result_alone</t>
  </si>
  <si>
    <t>one configuration make all three service compromised (count only when J =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</si>
</sst>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9.9"/>
      <color rgb="FFA31515"/>
      <name val="Courier New"/>
      <family val="3"/>
    </font>
    <font>
      <sz val="8"/>
      <name val="Aptos Narrow"/>
      <family val="2"/>
      <scheme val="minor"/>
    </font>
    <font>
      <b/>
      <sz val="11"/>
      <color theme="0"/>
      <name val="Aptos Narrow"/>
      <family val="2"/>
      <scheme val="minor"/>
    </font>
    <font>
      <sz val="11"/>
      <name val="Aptos Narrow"/>
      <family val="2"/>
      <scheme val="minor"/>
    </font>
    <font>
      <sz val="11"/>
      <color rgb="FFFF0000"/>
      <name val="Aptos Narrow"/>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rgb="FFFFC000"/>
        <bgColor indexed="64"/>
      </patternFill>
    </fill>
    <fill>
      <patternFill patternType="solid">
        <fgColor theme="0" tint="-0.249977111117893"/>
        <bgColor indexed="64"/>
      </patternFill>
    </fill>
    <fill>
      <patternFill patternType="solid">
        <fgColor rgb="FFFF0000"/>
        <bgColor theme="4" tint="0.79998168889431442"/>
      </patternFill>
    </fill>
    <fill>
      <patternFill patternType="solid">
        <fgColor rgb="FFFFFF00"/>
        <bgColor indexed="6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3">
    <xf numFmtId="0" fontId="0" fillId="0" borderId="0" xfId="0"/>
    <xf numFmtId="22" fontId="0" fillId="0" borderId="0" xfId="0" applyNumberFormat="1"/>
    <xf numFmtId="0" fontId="1" fillId="0" borderId="0" xfId="0" applyFont="1" applyAlignment="1">
      <alignment vertical="center"/>
    </xf>
    <xf numFmtId="0" fontId="3" fillId="2" borderId="1" xfId="0" applyFont="1" applyFill="1" applyBorder="1"/>
    <xf numFmtId="0" fontId="0" fillId="0" borderId="1" xfId="0" applyBorder="1"/>
    <xf numFmtId="0" fontId="0" fillId="3" borderId="1" xfId="0" applyFill="1" applyBorder="1"/>
    <xf numFmtId="0" fontId="3" fillId="2" borderId="0" xfId="0" applyFont="1" applyFill="1"/>
    <xf numFmtId="0" fontId="0" fillId="4" borderId="0" xfId="0" applyFill="1"/>
    <xf numFmtId="0" fontId="0" fillId="5" borderId="0" xfId="0" applyFill="1"/>
    <xf numFmtId="0" fontId="0" fillId="6" borderId="0" xfId="0" applyFill="1"/>
    <xf numFmtId="0" fontId="4" fillId="7" borderId="1" xfId="0" applyFont="1" applyFill="1" applyBorder="1"/>
    <xf numFmtId="0" fontId="0" fillId="8" borderId="0" xfId="0" applyFill="1"/>
    <xf numFmtId="0" fontId="5" fillId="0" borderId="0" xfId="0" applyFont="1"/>
  </cellXfs>
  <cellStyles count="1">
    <cellStyle name="Standard" xfId="0" builtinId="0"/>
  </cellStyles>
  <dxfs count="43">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2" tint="-0.24994659260841701"/>
        </patternFill>
      </fill>
    </dxf>
    <dxf>
      <fill>
        <patternFill>
          <bgColor theme="9" tint="0.39994506668294322"/>
        </patternFill>
      </fill>
    </dxf>
    <dxf>
      <fill>
        <patternFill>
          <bgColor rgb="FFFFC000"/>
        </patternFill>
      </fill>
    </dxf>
    <dxf>
      <fill>
        <patternFill>
          <bgColor theme="0" tint="-0.1499679555650502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34998626667073579"/>
        </patternFill>
      </fill>
    </dxf>
    <dxf>
      <fill>
        <patternFill>
          <bgColor rgb="FFFF0000"/>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rgb="FF00B050"/>
        </patternFill>
      </fill>
    </dxf>
    <dxf>
      <fill>
        <patternFill>
          <bgColor rgb="FFFFFF00"/>
        </patternFill>
      </fill>
    </dxf>
    <dxf>
      <fill>
        <patternFill>
          <bgColor theme="2" tint="-9.9948118533890809E-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45CF4D67-24B9-41F0-9901-53601DDCF307}" autoFormatId="16" applyNumberFormats="0" applyBorderFormats="0" applyFontFormats="0" applyPatternFormats="0" applyAlignmentFormats="0" applyWidthHeightFormats="0">
  <queryTableRefresh nextId="25" unboundColumnsRight="6">
    <queryTableFields count="23">
      <queryTableField id="1" name="cell_id" tableColumnId="1"/>
      <queryTableField id="2" name="timestamp" tableColumnId="2"/>
      <queryTableField id="3" name="ecosystem" tableColumnId="3"/>
      <queryTableField id="4" name="A - private registry configuration" tableColumnId="4"/>
      <queryTableField id="5" name="B1 - package manager configuration" tableColumnId="5"/>
      <queryTableField id="6" name="B2 - version specifier" tableColumnId="6"/>
      <queryTableField id="7" name="C - pipeline operation type" tableColumnId="7"/>
      <queryTableField id="8" name="classification" tableColumnId="8"/>
      <queryTableField id="9" name="pk1_name" tableColumnId="9"/>
      <queryTableField id="10" name="pk1_version" tableColumnId="10"/>
      <queryTableField id="11" name="pk1_url" tableColumnId="11"/>
      <queryTableField id="12" name="pk2_name" tableColumnId="12"/>
      <queryTableField id="13" name="pk2_version" tableColumnId="13"/>
      <queryTableField id="14" name="pk2_url" tableColumnId="14"/>
      <queryTableField id="15" name="artifact_path" tableColumnId="15"/>
      <queryTableField id="16" name="git_commit" tableColumnId="16"/>
      <queryTableField id="17" name="github_run_id" tableColumnId="17"/>
      <queryTableField id="18" dataBound="0" tableColumnId="18"/>
      <queryTableField id="19" dataBound="0" tableColumnId="19"/>
      <queryTableField id="21" dataBound="0" tableColumnId="20"/>
      <queryTableField id="22" dataBound="0" tableColumnId="21"/>
      <queryTableField id="23" dataBound="0" tableColumnId="22"/>
      <queryTableField id="24" dataBound="0"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29230C-F0E4-43EA-8341-3E01AF9D8D83}" name="results" displayName="results" ref="A1:W433" tableType="queryTable" totalsRowShown="0">
  <autoFilter ref="A1:W433" xr:uid="{7F29230C-F0E4-43EA-8341-3E01AF9D8D83}"/>
  <tableColumns count="23">
    <tableColumn id="1" xr3:uid="{A65D53B3-AEE8-4BDA-A007-78AF105B23C7}" uniqueName="1" name="cell_id" queryTableFieldId="1" dataDxfId="42"/>
    <tableColumn id="2" xr3:uid="{FAE1C5D0-B844-4E04-8570-5E7392EC0CD8}" uniqueName="2" name="timestamp" queryTableFieldId="2" dataDxfId="41"/>
    <tableColumn id="3" xr3:uid="{BBF46145-6F90-4151-B5A4-CDBB35EFE548}" uniqueName="3" name="ecosystem" queryTableFieldId="3" dataDxfId="40"/>
    <tableColumn id="4" xr3:uid="{BE192AD0-EA51-423D-8064-F03DFC2283D1}" uniqueName="4" name="A - private registry configuration" queryTableFieldId="4" dataDxfId="39"/>
    <tableColumn id="5" xr3:uid="{0CC34752-F77F-4389-A551-0DF478F89775}" uniqueName="5" name="B1 - package manager configuration" queryTableFieldId="5" dataDxfId="38"/>
    <tableColumn id="6" xr3:uid="{860742B4-072C-4C8E-A14D-384D82844D79}" uniqueName="6" name="B2 - version specifier" queryTableFieldId="6" dataDxfId="37"/>
    <tableColumn id="7" xr3:uid="{55C1A906-487C-4BD6-9FE2-2C83CC981730}" uniqueName="7" name="C - pipeline operation type" queryTableFieldId="7" dataDxfId="36"/>
    <tableColumn id="8" xr3:uid="{58E9AA63-32ED-49FD-8C66-24784E1318A0}" uniqueName="8" name="classification" queryTableFieldId="8" dataDxfId="35"/>
    <tableColumn id="9" xr3:uid="{A44E4050-08CE-4488-B898-63D9257CCF92}" uniqueName="9" name="pk1_name" queryTableFieldId="9" dataDxfId="34"/>
    <tableColumn id="10" xr3:uid="{71E0CA27-6CEE-4940-B266-B7513F22296A}" uniqueName="10" name="pk1_version" queryTableFieldId="10"/>
    <tableColumn id="11" xr3:uid="{F6F3F30F-14D7-481E-A758-BCE99E99F129}" uniqueName="11" name="pk1_url" queryTableFieldId="11" dataDxfId="33"/>
    <tableColumn id="12" xr3:uid="{921B2E99-895D-4E5E-9510-DEAAD18CD223}" uniqueName="12" name="pk2_name" queryTableFieldId="12" dataDxfId="32"/>
    <tableColumn id="13" xr3:uid="{9084FB30-82DC-4AE6-8FB6-1C31A0551FB8}" uniqueName="13" name="pk2_version" queryTableFieldId="13"/>
    <tableColumn id="14" xr3:uid="{D5B22B60-C596-4281-B574-FA3B124D4F4F}" uniqueName="14" name="pk2_url" queryTableFieldId="14" dataDxfId="31"/>
    <tableColumn id="15" xr3:uid="{D94E0725-5A59-42CC-BE75-97D4507A7741}" uniqueName="15" name="artifact_path" queryTableFieldId="15" dataDxfId="30"/>
    <tableColumn id="16" xr3:uid="{71208F8D-867D-4980-A5B2-3594876264F4}" uniqueName="16" name="git_commit" queryTableFieldId="16" dataDxfId="29"/>
    <tableColumn id="17" xr3:uid="{27213F26-9F4A-4C3E-AE70-27C7397D8686}" uniqueName="17" name="github_run_id" queryTableFieldId="17"/>
    <tableColumn id="18" xr3:uid="{91A6E711-13C5-4562-A6EC-0ECEC846B0F3}" uniqueName="18" name="key" queryTableFieldId="18" dataDxfId="28">
      <calculatedColumnFormula>C2&amp;"|"&amp;D2&amp;"|"&amp;E2&amp;"|"&amp;F2&amp;"|"&amp;G2</calculatedColumnFormula>
    </tableColumn>
    <tableColumn id="19" xr3:uid="{CD516DC1-753B-4C59-ABD3-C987D8E0FB42}" uniqueName="19" name="code" queryTableFieldId="19" dataDxfId="27">
      <calculatedColumnFormula>IF(H2="malicious_resolved","M",IF(H2="private_resolved","P",IF(H2="resolution_error","E","-")))</calculatedColumnFormula>
    </tableColumn>
    <tableColumn id="20" xr3:uid="{9F7F4C77-F75A-4560-892B-09CC0050ED3D}" uniqueName="20" name="C1a ≡ C1c" queryTableFieldId="21" dataDxfId="26">
      <calculatedColumnFormula>IF(G2="C1a",IF(H2=VLOOKUP(SUBSTITUTE(A2,"_C1a","_C1c"),$A:$H,8,FALSE),"same","DIFF"),"")</calculatedColumnFormula>
    </tableColumn>
    <tableColumn id="21" xr3:uid="{599B53DF-08FE-4E64-88B0-07C5F4412C5F}" uniqueName="21" name="npm B1b ≡ B1d" queryTableFieldId="22" dataDxfId="25">
      <calculatedColumnFormula>IF(AND(C2="nodejs",E2="B1b"),IF(H2=VLOOKUP(SUBSTITUTE(A2,"_B1b_","_B1d_"),$A:$H,8,FALSE),"same","DIFF"),"")</calculatedColumnFormula>
    </tableColumn>
    <tableColumn id="22" xr3:uid="{8AB6EE1A-1F39-4058-80CB-32DA135430CB}" uniqueName="22" name="npm B1c ≡ B1b" queryTableFieldId="23" dataDxfId="24">
      <calculatedColumnFormula>IF(AND(C2="nodejs",E2="B1c",H2&lt;&gt;"invalid_configuration"),IF(H2=VLOOKUP(SUBSTITUTE(A2,"_B1c_","_B1b_"),$A:$H,8,FALSE),"same","DIFF"),"")</calculatedColumnFormula>
    </tableColumn>
    <tableColumn id="23" xr3:uid="{D42B4439-A177-44E3-A7D8-BA2F255D1F7F}" uniqueName="23" name="A1a ≡ A1b" queryTableFieldId="24" dataDxfId="23">
      <calculatedColumnFormula>IF(D2="A1a",IF(H2=VLOOKUP(SUBSTITUTE(A2,"_A1a_","_A1b_"),$A:$H,8,FALSE),"same","DIFF"),"")</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F629A-70AD-4B3B-8577-5EAA63C98883}">
  <dimension ref="A1:Y433"/>
  <sheetViews>
    <sheetView topLeftCell="P19" zoomScale="130" zoomScaleNormal="130" workbookViewId="0">
      <selection activeCell="V1" sqref="V1"/>
    </sheetView>
  </sheetViews>
  <sheetFormatPr baseColWidth="10" defaultRowHeight="14.4" x14ac:dyDescent="0.3"/>
  <cols>
    <col min="1" max="1" width="20.33203125" bestFit="1" customWidth="1"/>
    <col min="2" max="2" width="15" customWidth="1"/>
    <col min="3" max="3" width="12.21875" bestFit="1" customWidth="1"/>
    <col min="4" max="4" width="8.21875" customWidth="1"/>
    <col min="5" max="5" width="9.6640625" customWidth="1"/>
    <col min="6" max="6" width="5.88671875" customWidth="1"/>
    <col min="7" max="7" width="8.5546875" customWidth="1"/>
    <col min="8" max="8" width="17.5546875" bestFit="1" customWidth="1"/>
    <col min="9" max="9" width="24.21875" bestFit="1" customWidth="1"/>
    <col min="10" max="10" width="13.109375" bestFit="1" customWidth="1"/>
    <col min="11" max="11" width="15.44140625" customWidth="1"/>
    <col min="12" max="12" width="25.77734375" bestFit="1" customWidth="1"/>
    <col min="13" max="13" width="13.109375" bestFit="1" customWidth="1"/>
    <col min="14" max="14" width="80.88671875" bestFit="1" customWidth="1"/>
    <col min="15" max="15" width="76.44140625" bestFit="1" customWidth="1"/>
    <col min="16" max="16" width="40.6640625" bestFit="1" customWidth="1"/>
    <col min="17" max="17" width="14.3320312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885</v>
      </c>
      <c r="S1" t="s">
        <v>886</v>
      </c>
      <c r="T1" t="s">
        <v>902</v>
      </c>
      <c r="U1" t="s">
        <v>903</v>
      </c>
      <c r="V1" t="s">
        <v>904</v>
      </c>
      <c r="W1" t="s">
        <v>905</v>
      </c>
    </row>
    <row r="2" spans="1:25" x14ac:dyDescent="0.3">
      <c r="A2" t="s">
        <v>17</v>
      </c>
      <c r="B2" s="1">
        <v>46272.538430138891</v>
      </c>
      <c r="C2" t="s">
        <v>18</v>
      </c>
      <c r="D2" t="s">
        <v>19</v>
      </c>
      <c r="E2" t="s">
        <v>20</v>
      </c>
      <c r="F2" t="s">
        <v>21</v>
      </c>
      <c r="G2" t="s">
        <v>22</v>
      </c>
      <c r="H2" t="s">
        <v>23</v>
      </c>
      <c r="I2" t="s">
        <v>24</v>
      </c>
      <c r="J2">
        <v>100</v>
      </c>
      <c r="K2" t="s">
        <v>25</v>
      </c>
      <c r="L2" t="s">
        <v>26</v>
      </c>
      <c r="M2">
        <v>100</v>
      </c>
      <c r="N2" t="s">
        <v>27</v>
      </c>
      <c r="O2" t="s">
        <v>28</v>
      </c>
      <c r="P2" t="s">
        <v>29</v>
      </c>
      <c r="Q2">
        <v>34113888907</v>
      </c>
      <c r="R2" s="2" t="str">
        <f t="shared" ref="R2" si="0">C2&amp;"|"&amp;D2&amp;"|"&amp;E2&amp;"|"&amp;F2&amp;"|"&amp;G2</f>
        <v>nodejs|A1a|B1a|B2a|C1a</v>
      </c>
      <c r="S2" t="str">
        <f>IF(H2="malicious_resolved","M",IF(H2="private_resolved","P",IF(H2="resolution_error","E","-")))</f>
        <v>P</v>
      </c>
      <c r="T2" t="str">
        <f>IF(G2="C1a",IF(H2=VLOOKUP(SUBSTITUTE(A2,"_C1a","_C1c"),$A:$H,8,FALSE),"same","DIFF"),"")</f>
        <v>same</v>
      </c>
      <c r="U2" t="str">
        <f t="shared" ref="U2:U65" si="1">IF(AND(C2="nodejs",E2="B1b"),IF(H2=VLOOKUP(SUBSTITUTE(A2,"_B1b_","_B1d_"),$A:$H,8,FALSE),"same","DIFF"),"")</f>
        <v/>
      </c>
      <c r="V2" t="str">
        <f t="shared" ref="V2:V65" si="2">IF(AND(C2="nodejs",E2="B1c",H2&lt;&gt;"invalid_configuration"),IF(H2=VLOOKUP(SUBSTITUTE(A2,"_B1c_","_B1b_"),$A:$H,8,FALSE),"same","DIFF"),"")</f>
        <v/>
      </c>
      <c r="W2" t="str">
        <f t="shared" ref="W2:W65" si="3">IF(D2="A1a",IF(H2=VLOOKUP(SUBSTITUTE(A2,"_A1a_","_A1b_"),$A:$H,8,FALSE),"same","DIFF"),"")</f>
        <v>same</v>
      </c>
    </row>
    <row r="3" spans="1:25" x14ac:dyDescent="0.3">
      <c r="A3" t="s">
        <v>30</v>
      </c>
      <c r="B3" s="1">
        <v>46272.53927079861</v>
      </c>
      <c r="C3" t="s">
        <v>18</v>
      </c>
      <c r="D3" t="s">
        <v>19</v>
      </c>
      <c r="E3" t="s">
        <v>20</v>
      </c>
      <c r="F3" t="s">
        <v>21</v>
      </c>
      <c r="G3" t="s">
        <v>31</v>
      </c>
      <c r="H3" t="s">
        <v>23</v>
      </c>
      <c r="I3" t="s">
        <v>24</v>
      </c>
      <c r="J3">
        <v>100</v>
      </c>
      <c r="K3" t="s">
        <v>25</v>
      </c>
      <c r="L3" t="s">
        <v>26</v>
      </c>
      <c r="M3">
        <v>100</v>
      </c>
      <c r="N3" t="s">
        <v>27</v>
      </c>
      <c r="O3" t="s">
        <v>32</v>
      </c>
      <c r="P3" t="s">
        <v>29</v>
      </c>
      <c r="Q3">
        <v>34114003220</v>
      </c>
      <c r="R3" s="2" t="str">
        <f t="shared" ref="R3:R66" si="4">C3&amp;"|"&amp;D3&amp;"|"&amp;E3&amp;"|"&amp;F3&amp;"|"&amp;G3</f>
        <v>nodejs|A1a|B1a|B2a|C1c</v>
      </c>
      <c r="S3" t="str">
        <f t="shared" ref="S3:S66" si="5">IF(H3="malicious_resolved","M",IF(H3="private_resolved","P",IF(H3="resolution_error","E","-")))</f>
        <v>P</v>
      </c>
      <c r="T3" t="str">
        <f t="shared" ref="T3:T65" si="6">IF(G3="C1a",IF(H3=VLOOKUP(SUBSTITUTE(A3,"_C1a","_C1c"),$A:$H,8,FALSE),"same","DIFF"),"")</f>
        <v/>
      </c>
      <c r="U3" t="str">
        <f t="shared" si="1"/>
        <v/>
      </c>
      <c r="V3" t="str">
        <f t="shared" si="2"/>
        <v/>
      </c>
      <c r="W3" t="str">
        <f t="shared" si="3"/>
        <v>same</v>
      </c>
    </row>
    <row r="4" spans="1:25" x14ac:dyDescent="0.3">
      <c r="A4" t="s">
        <v>33</v>
      </c>
      <c r="B4" s="1">
        <v>46272.539715856481</v>
      </c>
      <c r="C4" t="s">
        <v>18</v>
      </c>
      <c r="D4" t="s">
        <v>19</v>
      </c>
      <c r="E4" t="s">
        <v>20</v>
      </c>
      <c r="F4" t="s">
        <v>34</v>
      </c>
      <c r="G4" t="s">
        <v>22</v>
      </c>
      <c r="H4" t="s">
        <v>35</v>
      </c>
      <c r="I4" t="s">
        <v>24</v>
      </c>
      <c r="J4">
        <v>103</v>
      </c>
      <c r="K4" t="s">
        <v>36</v>
      </c>
      <c r="L4" t="s">
        <v>26</v>
      </c>
      <c r="M4">
        <v>103</v>
      </c>
      <c r="N4" t="s">
        <v>37</v>
      </c>
      <c r="O4" t="s">
        <v>38</v>
      </c>
      <c r="P4" t="s">
        <v>29</v>
      </c>
      <c r="Q4">
        <v>34114057763</v>
      </c>
      <c r="R4" s="2" t="str">
        <f t="shared" si="4"/>
        <v>nodejs|A1a|B1a|B2b|C1a</v>
      </c>
      <c r="S4" t="str">
        <f t="shared" si="5"/>
        <v>M</v>
      </c>
      <c r="T4" t="str">
        <f t="shared" si="6"/>
        <v>same</v>
      </c>
      <c r="U4" t="str">
        <f t="shared" si="1"/>
        <v/>
      </c>
      <c r="V4" t="str">
        <f t="shared" si="2"/>
        <v/>
      </c>
      <c r="W4" t="str">
        <f t="shared" si="3"/>
        <v>same</v>
      </c>
    </row>
    <row r="5" spans="1:25" x14ac:dyDescent="0.3">
      <c r="A5" t="s">
        <v>39</v>
      </c>
      <c r="B5" s="1">
        <v>46272.540541273149</v>
      </c>
      <c r="C5" t="s">
        <v>18</v>
      </c>
      <c r="D5" t="s">
        <v>19</v>
      </c>
      <c r="E5" t="s">
        <v>20</v>
      </c>
      <c r="F5" t="s">
        <v>34</v>
      </c>
      <c r="G5" t="s">
        <v>31</v>
      </c>
      <c r="H5" t="s">
        <v>35</v>
      </c>
      <c r="I5" t="s">
        <v>24</v>
      </c>
      <c r="J5">
        <v>103</v>
      </c>
      <c r="K5" t="s">
        <v>36</v>
      </c>
      <c r="L5" t="s">
        <v>26</v>
      </c>
      <c r="M5">
        <v>103</v>
      </c>
      <c r="N5" t="s">
        <v>37</v>
      </c>
      <c r="O5" t="s">
        <v>40</v>
      </c>
      <c r="P5" t="s">
        <v>29</v>
      </c>
      <c r="Q5">
        <v>34114159819</v>
      </c>
      <c r="R5" s="2" t="str">
        <f t="shared" si="4"/>
        <v>nodejs|A1a|B1a|B2b|C1c</v>
      </c>
      <c r="S5" t="str">
        <f t="shared" si="5"/>
        <v>M</v>
      </c>
      <c r="T5" t="str">
        <f t="shared" si="6"/>
        <v/>
      </c>
      <c r="U5" t="str">
        <f t="shared" si="1"/>
        <v/>
      </c>
      <c r="V5" t="str">
        <f t="shared" si="2"/>
        <v/>
      </c>
      <c r="W5" t="str">
        <f t="shared" si="3"/>
        <v>same</v>
      </c>
      <c r="Y5">
        <f>COUNTIF(W2:W433,"same")</f>
        <v>108</v>
      </c>
    </row>
    <row r="6" spans="1:25" x14ac:dyDescent="0.3">
      <c r="A6" t="s">
        <v>41</v>
      </c>
      <c r="B6" s="1">
        <v>46272.540978703706</v>
      </c>
      <c r="C6" t="s">
        <v>18</v>
      </c>
      <c r="D6" t="s">
        <v>19</v>
      </c>
      <c r="E6" t="s">
        <v>20</v>
      </c>
      <c r="F6" t="s">
        <v>42</v>
      </c>
      <c r="G6" t="s">
        <v>22</v>
      </c>
      <c r="H6" t="s">
        <v>35</v>
      </c>
      <c r="I6" t="s">
        <v>24</v>
      </c>
      <c r="J6">
        <v>103</v>
      </c>
      <c r="K6" t="s">
        <v>36</v>
      </c>
      <c r="L6" t="s">
        <v>26</v>
      </c>
      <c r="M6">
        <v>103</v>
      </c>
      <c r="N6" t="s">
        <v>37</v>
      </c>
      <c r="O6" t="s">
        <v>43</v>
      </c>
      <c r="P6" t="s">
        <v>29</v>
      </c>
      <c r="Q6">
        <v>34114208812</v>
      </c>
      <c r="R6" s="2" t="str">
        <f t="shared" si="4"/>
        <v>nodejs|A1a|B1a|B2c|C1a</v>
      </c>
      <c r="S6" t="str">
        <f t="shared" si="5"/>
        <v>M</v>
      </c>
      <c r="T6" t="str">
        <f t="shared" si="6"/>
        <v>same</v>
      </c>
      <c r="U6" t="str">
        <f t="shared" si="1"/>
        <v/>
      </c>
      <c r="V6" t="str">
        <f t="shared" si="2"/>
        <v/>
      </c>
      <c r="W6" t="str">
        <f t="shared" si="3"/>
        <v>same</v>
      </c>
      <c r="Y6">
        <f>COUNTIF(W2:W433,"DIFF")</f>
        <v>0</v>
      </c>
    </row>
    <row r="7" spans="1:25" x14ac:dyDescent="0.3">
      <c r="A7" t="s">
        <v>44</v>
      </c>
      <c r="B7" s="1">
        <v>46272.541855081021</v>
      </c>
      <c r="C7" t="s">
        <v>18</v>
      </c>
      <c r="D7" t="s">
        <v>19</v>
      </c>
      <c r="E7" t="s">
        <v>20</v>
      </c>
      <c r="F7" t="s">
        <v>42</v>
      </c>
      <c r="G7" t="s">
        <v>31</v>
      </c>
      <c r="H7" t="s">
        <v>35</v>
      </c>
      <c r="I7" t="s">
        <v>24</v>
      </c>
      <c r="J7">
        <v>103</v>
      </c>
      <c r="K7" t="s">
        <v>36</v>
      </c>
      <c r="L7" t="s">
        <v>26</v>
      </c>
      <c r="M7">
        <v>103</v>
      </c>
      <c r="N7" t="s">
        <v>37</v>
      </c>
      <c r="O7" t="s">
        <v>45</v>
      </c>
      <c r="P7" t="s">
        <v>29</v>
      </c>
      <c r="Q7">
        <v>34114305648</v>
      </c>
      <c r="R7" s="2" t="str">
        <f t="shared" si="4"/>
        <v>nodejs|A1a|B1a|B2c|C1c</v>
      </c>
      <c r="S7" t="str">
        <f t="shared" si="5"/>
        <v>M</v>
      </c>
      <c r="T7" t="str">
        <f t="shared" si="6"/>
        <v/>
      </c>
      <c r="U7" t="str">
        <f t="shared" si="1"/>
        <v/>
      </c>
      <c r="V7" t="str">
        <f t="shared" si="2"/>
        <v/>
      </c>
      <c r="W7" t="str">
        <f t="shared" si="3"/>
        <v>same</v>
      </c>
    </row>
    <row r="8" spans="1:25" x14ac:dyDescent="0.3">
      <c r="A8" t="s">
        <v>46</v>
      </c>
      <c r="B8" s="1">
        <v>46272.542298148146</v>
      </c>
      <c r="C8" t="s">
        <v>18</v>
      </c>
      <c r="D8" t="s">
        <v>19</v>
      </c>
      <c r="E8" t="s">
        <v>47</v>
      </c>
      <c r="F8" t="s">
        <v>21</v>
      </c>
      <c r="G8" t="s">
        <v>22</v>
      </c>
      <c r="H8" t="s">
        <v>48</v>
      </c>
      <c r="I8" t="s">
        <v>49</v>
      </c>
      <c r="K8" t="s">
        <v>49</v>
      </c>
      <c r="L8" t="s">
        <v>49</v>
      </c>
      <c r="N8" t="s">
        <v>49</v>
      </c>
      <c r="O8" t="s">
        <v>50</v>
      </c>
      <c r="P8" t="s">
        <v>29</v>
      </c>
      <c r="Q8">
        <v>34114369482</v>
      </c>
      <c r="R8" s="2" t="str">
        <f t="shared" si="4"/>
        <v>nodejs|A1a|B1b|B2a|C1a</v>
      </c>
      <c r="S8" t="str">
        <f t="shared" si="5"/>
        <v>E</v>
      </c>
      <c r="T8" t="str">
        <f t="shared" si="6"/>
        <v>same</v>
      </c>
      <c r="U8" t="str">
        <f t="shared" si="1"/>
        <v>same</v>
      </c>
      <c r="V8" t="str">
        <f t="shared" si="2"/>
        <v/>
      </c>
      <c r="W8" t="str">
        <f t="shared" si="3"/>
        <v>same</v>
      </c>
    </row>
    <row r="9" spans="1:25" x14ac:dyDescent="0.3">
      <c r="A9" t="s">
        <v>51</v>
      </c>
      <c r="B9" s="1">
        <v>46272.543175636572</v>
      </c>
      <c r="C9" t="s">
        <v>18</v>
      </c>
      <c r="D9" t="s">
        <v>19</v>
      </c>
      <c r="E9" t="s">
        <v>47</v>
      </c>
      <c r="F9" t="s">
        <v>21</v>
      </c>
      <c r="G9" t="s">
        <v>31</v>
      </c>
      <c r="H9" t="s">
        <v>48</v>
      </c>
      <c r="I9" t="s">
        <v>49</v>
      </c>
      <c r="K9" t="s">
        <v>49</v>
      </c>
      <c r="L9" t="s">
        <v>49</v>
      </c>
      <c r="N9" t="s">
        <v>49</v>
      </c>
      <c r="O9" t="s">
        <v>52</v>
      </c>
      <c r="P9" t="s">
        <v>29</v>
      </c>
      <c r="Q9">
        <v>34114483207</v>
      </c>
      <c r="R9" s="2" t="str">
        <f t="shared" si="4"/>
        <v>nodejs|A1a|B1b|B2a|C1c</v>
      </c>
      <c r="S9" t="str">
        <f t="shared" si="5"/>
        <v>E</v>
      </c>
      <c r="T9" t="str">
        <f t="shared" si="6"/>
        <v/>
      </c>
      <c r="U9" t="str">
        <f t="shared" si="1"/>
        <v>same</v>
      </c>
      <c r="V9" t="str">
        <f t="shared" si="2"/>
        <v/>
      </c>
      <c r="W9" t="str">
        <f t="shared" si="3"/>
        <v>same</v>
      </c>
    </row>
    <row r="10" spans="1:25" x14ac:dyDescent="0.3">
      <c r="A10" t="s">
        <v>53</v>
      </c>
      <c r="B10" s="1">
        <v>46272.543607951389</v>
      </c>
      <c r="C10" t="s">
        <v>18</v>
      </c>
      <c r="D10" t="s">
        <v>19</v>
      </c>
      <c r="E10" t="s">
        <v>47</v>
      </c>
      <c r="F10" t="s">
        <v>34</v>
      </c>
      <c r="G10" t="s">
        <v>22</v>
      </c>
      <c r="H10" t="s">
        <v>35</v>
      </c>
      <c r="I10" t="s">
        <v>24</v>
      </c>
      <c r="J10">
        <v>103</v>
      </c>
      <c r="K10" t="s">
        <v>54</v>
      </c>
      <c r="L10" t="s">
        <v>26</v>
      </c>
      <c r="M10">
        <v>103</v>
      </c>
      <c r="N10" t="s">
        <v>55</v>
      </c>
      <c r="O10" t="s">
        <v>56</v>
      </c>
      <c r="P10" t="s">
        <v>29</v>
      </c>
      <c r="Q10">
        <v>34114535707</v>
      </c>
      <c r="R10" s="2" t="str">
        <f t="shared" si="4"/>
        <v>nodejs|A1a|B1b|B2b|C1a</v>
      </c>
      <c r="S10" t="str">
        <f t="shared" si="5"/>
        <v>M</v>
      </c>
      <c r="T10" t="str">
        <f t="shared" si="6"/>
        <v>same</v>
      </c>
      <c r="U10" t="str">
        <f t="shared" si="1"/>
        <v>same</v>
      </c>
      <c r="V10" t="str">
        <f t="shared" si="2"/>
        <v/>
      </c>
      <c r="W10" t="str">
        <f t="shared" si="3"/>
        <v>same</v>
      </c>
    </row>
    <row r="11" spans="1:25" x14ac:dyDescent="0.3">
      <c r="A11" t="s">
        <v>57</v>
      </c>
      <c r="B11" s="1">
        <v>46272.544451064816</v>
      </c>
      <c r="C11" t="s">
        <v>18</v>
      </c>
      <c r="D11" t="s">
        <v>19</v>
      </c>
      <c r="E11" t="s">
        <v>47</v>
      </c>
      <c r="F11" t="s">
        <v>34</v>
      </c>
      <c r="G11" t="s">
        <v>31</v>
      </c>
      <c r="H11" t="s">
        <v>35</v>
      </c>
      <c r="I11" t="s">
        <v>24</v>
      </c>
      <c r="J11">
        <v>103</v>
      </c>
      <c r="K11" t="s">
        <v>54</v>
      </c>
      <c r="L11" t="s">
        <v>26</v>
      </c>
      <c r="M11">
        <v>103</v>
      </c>
      <c r="N11" t="s">
        <v>55</v>
      </c>
      <c r="O11" t="s">
        <v>58</v>
      </c>
      <c r="P11" t="s">
        <v>29</v>
      </c>
      <c r="Q11">
        <v>34114637322</v>
      </c>
      <c r="R11" s="2" t="str">
        <f t="shared" si="4"/>
        <v>nodejs|A1a|B1b|B2b|C1c</v>
      </c>
      <c r="S11" t="str">
        <f t="shared" si="5"/>
        <v>M</v>
      </c>
      <c r="T11" t="str">
        <f t="shared" si="6"/>
        <v/>
      </c>
      <c r="U11" t="str">
        <f t="shared" si="1"/>
        <v>same</v>
      </c>
      <c r="V11" t="str">
        <f t="shared" si="2"/>
        <v/>
      </c>
      <c r="W11" t="str">
        <f t="shared" si="3"/>
        <v>same</v>
      </c>
    </row>
    <row r="12" spans="1:25" x14ac:dyDescent="0.3">
      <c r="A12" t="s">
        <v>59</v>
      </c>
      <c r="B12" s="1">
        <v>46272.544842743053</v>
      </c>
      <c r="C12" t="s">
        <v>18</v>
      </c>
      <c r="D12" t="s">
        <v>19</v>
      </c>
      <c r="E12" t="s">
        <v>47</v>
      </c>
      <c r="F12" t="s">
        <v>42</v>
      </c>
      <c r="G12" t="s">
        <v>22</v>
      </c>
      <c r="H12" t="s">
        <v>35</v>
      </c>
      <c r="I12" t="s">
        <v>24</v>
      </c>
      <c r="J12">
        <v>103</v>
      </c>
      <c r="K12" t="s">
        <v>54</v>
      </c>
      <c r="L12" t="s">
        <v>26</v>
      </c>
      <c r="M12">
        <v>103</v>
      </c>
      <c r="N12" t="s">
        <v>55</v>
      </c>
      <c r="O12" t="s">
        <v>60</v>
      </c>
      <c r="P12" t="s">
        <v>29</v>
      </c>
      <c r="Q12">
        <v>34114690711</v>
      </c>
      <c r="R12" s="2" t="str">
        <f t="shared" si="4"/>
        <v>nodejs|A1a|B1b|B2c|C1a</v>
      </c>
      <c r="S12" t="str">
        <f t="shared" si="5"/>
        <v>M</v>
      </c>
      <c r="T12" t="str">
        <f t="shared" si="6"/>
        <v>same</v>
      </c>
      <c r="U12" t="str">
        <f t="shared" si="1"/>
        <v>same</v>
      </c>
      <c r="V12" t="str">
        <f t="shared" si="2"/>
        <v/>
      </c>
      <c r="W12" t="str">
        <f t="shared" si="3"/>
        <v>same</v>
      </c>
    </row>
    <row r="13" spans="1:25" x14ac:dyDescent="0.3">
      <c r="A13" t="s">
        <v>61</v>
      </c>
      <c r="B13" s="1">
        <v>46272.545673206019</v>
      </c>
      <c r="C13" t="s">
        <v>18</v>
      </c>
      <c r="D13" t="s">
        <v>19</v>
      </c>
      <c r="E13" t="s">
        <v>47</v>
      </c>
      <c r="F13" t="s">
        <v>42</v>
      </c>
      <c r="G13" t="s">
        <v>31</v>
      </c>
      <c r="H13" t="s">
        <v>35</v>
      </c>
      <c r="I13" t="s">
        <v>24</v>
      </c>
      <c r="J13">
        <v>103</v>
      </c>
      <c r="K13" t="s">
        <v>54</v>
      </c>
      <c r="L13" t="s">
        <v>26</v>
      </c>
      <c r="M13">
        <v>103</v>
      </c>
      <c r="N13" t="s">
        <v>55</v>
      </c>
      <c r="O13" t="s">
        <v>62</v>
      </c>
      <c r="P13" t="s">
        <v>29</v>
      </c>
      <c r="Q13">
        <v>34114787510</v>
      </c>
      <c r="R13" s="2" t="str">
        <f t="shared" si="4"/>
        <v>nodejs|A1a|B1b|B2c|C1c</v>
      </c>
      <c r="S13" t="str">
        <f t="shared" si="5"/>
        <v>M</v>
      </c>
      <c r="T13" t="str">
        <f t="shared" si="6"/>
        <v/>
      </c>
      <c r="U13" t="str">
        <f t="shared" si="1"/>
        <v>same</v>
      </c>
      <c r="V13" t="str">
        <f t="shared" si="2"/>
        <v/>
      </c>
      <c r="W13" t="str">
        <f t="shared" si="3"/>
        <v>same</v>
      </c>
    </row>
    <row r="14" spans="1:25" x14ac:dyDescent="0.3">
      <c r="A14" t="s">
        <v>63</v>
      </c>
      <c r="B14" s="1">
        <v>46272.54611278935</v>
      </c>
      <c r="C14" t="s">
        <v>18</v>
      </c>
      <c r="D14" t="s">
        <v>19</v>
      </c>
      <c r="E14" t="s">
        <v>64</v>
      </c>
      <c r="F14" t="s">
        <v>21</v>
      </c>
      <c r="G14" t="s">
        <v>22</v>
      </c>
      <c r="H14" t="s">
        <v>48</v>
      </c>
      <c r="I14" t="s">
        <v>49</v>
      </c>
      <c r="K14" t="s">
        <v>49</v>
      </c>
      <c r="L14" t="s">
        <v>49</v>
      </c>
      <c r="N14" t="s">
        <v>49</v>
      </c>
      <c r="O14" t="s">
        <v>65</v>
      </c>
      <c r="P14" t="s">
        <v>29</v>
      </c>
      <c r="Q14">
        <v>34114844504</v>
      </c>
      <c r="R14" s="2" t="str">
        <f t="shared" si="4"/>
        <v>nodejs|A1a|B1c|B2a|C1a</v>
      </c>
      <c r="S14" t="str">
        <f t="shared" si="5"/>
        <v>E</v>
      </c>
      <c r="T14" t="str">
        <f t="shared" si="6"/>
        <v>same</v>
      </c>
      <c r="U14" t="str">
        <f t="shared" si="1"/>
        <v/>
      </c>
      <c r="V14" t="str">
        <f t="shared" si="2"/>
        <v>same</v>
      </c>
      <c r="W14" t="str">
        <f t="shared" si="3"/>
        <v>same</v>
      </c>
    </row>
    <row r="15" spans="1:25" x14ac:dyDescent="0.3">
      <c r="A15" t="s">
        <v>66</v>
      </c>
      <c r="B15" s="1">
        <v>46272.546954872683</v>
      </c>
      <c r="C15" t="s">
        <v>18</v>
      </c>
      <c r="D15" t="s">
        <v>19</v>
      </c>
      <c r="E15" t="s">
        <v>64</v>
      </c>
      <c r="F15" t="s">
        <v>21</v>
      </c>
      <c r="G15" t="s">
        <v>31</v>
      </c>
      <c r="H15" t="s">
        <v>48</v>
      </c>
      <c r="I15" t="s">
        <v>49</v>
      </c>
      <c r="K15" t="s">
        <v>49</v>
      </c>
      <c r="L15" t="s">
        <v>49</v>
      </c>
      <c r="N15" t="s">
        <v>49</v>
      </c>
      <c r="O15" t="s">
        <v>67</v>
      </c>
      <c r="P15" t="s">
        <v>29</v>
      </c>
      <c r="Q15">
        <v>34114952360</v>
      </c>
      <c r="R15" s="2" t="str">
        <f t="shared" si="4"/>
        <v>nodejs|A1a|B1c|B2a|C1c</v>
      </c>
      <c r="S15" t="str">
        <f t="shared" si="5"/>
        <v>E</v>
      </c>
      <c r="T15" t="str">
        <f t="shared" si="6"/>
        <v/>
      </c>
      <c r="U15" t="str">
        <f t="shared" si="1"/>
        <v/>
      </c>
      <c r="V15" t="str">
        <f t="shared" si="2"/>
        <v>same</v>
      </c>
      <c r="W15" t="str">
        <f t="shared" si="3"/>
        <v>same</v>
      </c>
    </row>
    <row r="16" spans="1:25" x14ac:dyDescent="0.3">
      <c r="A16" t="s">
        <v>68</v>
      </c>
      <c r="B16" s="1">
        <v>46272.547348078704</v>
      </c>
      <c r="C16" t="s">
        <v>18</v>
      </c>
      <c r="D16" t="s">
        <v>19</v>
      </c>
      <c r="E16" t="s">
        <v>64</v>
      </c>
      <c r="F16" t="s">
        <v>34</v>
      </c>
      <c r="G16" t="s">
        <v>22</v>
      </c>
      <c r="H16" t="s">
        <v>35</v>
      </c>
      <c r="I16" t="s">
        <v>24</v>
      </c>
      <c r="J16">
        <v>103</v>
      </c>
      <c r="K16" t="s">
        <v>69</v>
      </c>
      <c r="L16" t="s">
        <v>26</v>
      </c>
      <c r="M16">
        <v>103</v>
      </c>
      <c r="N16" t="s">
        <v>70</v>
      </c>
      <c r="O16" t="s">
        <v>71</v>
      </c>
      <c r="P16" t="s">
        <v>29</v>
      </c>
      <c r="Q16">
        <v>34115004820</v>
      </c>
      <c r="R16" s="2" t="str">
        <f t="shared" si="4"/>
        <v>nodejs|A1a|B1c|B2b|C1a</v>
      </c>
      <c r="S16" t="str">
        <f t="shared" si="5"/>
        <v>M</v>
      </c>
      <c r="T16" t="str">
        <f t="shared" si="6"/>
        <v>same</v>
      </c>
      <c r="U16" t="str">
        <f t="shared" si="1"/>
        <v/>
      </c>
      <c r="V16" t="str">
        <f t="shared" si="2"/>
        <v>same</v>
      </c>
      <c r="W16" t="str">
        <f t="shared" si="3"/>
        <v>same</v>
      </c>
    </row>
    <row r="17" spans="1:23" x14ac:dyDescent="0.3">
      <c r="A17" t="s">
        <v>72</v>
      </c>
      <c r="B17" s="1">
        <v>46272.548178124998</v>
      </c>
      <c r="C17" t="s">
        <v>18</v>
      </c>
      <c r="D17" t="s">
        <v>19</v>
      </c>
      <c r="E17" t="s">
        <v>64</v>
      </c>
      <c r="F17" t="s">
        <v>34</v>
      </c>
      <c r="G17" t="s">
        <v>31</v>
      </c>
      <c r="H17" t="s">
        <v>35</v>
      </c>
      <c r="I17" t="s">
        <v>24</v>
      </c>
      <c r="J17">
        <v>103</v>
      </c>
      <c r="K17" t="s">
        <v>69</v>
      </c>
      <c r="L17" t="s">
        <v>26</v>
      </c>
      <c r="M17">
        <v>103</v>
      </c>
      <c r="N17" t="s">
        <v>70</v>
      </c>
      <c r="O17" t="s">
        <v>73</v>
      </c>
      <c r="P17" t="s">
        <v>29</v>
      </c>
      <c r="Q17">
        <v>34115104720</v>
      </c>
      <c r="R17" s="2" t="str">
        <f t="shared" si="4"/>
        <v>nodejs|A1a|B1c|B2b|C1c</v>
      </c>
      <c r="S17" t="str">
        <f t="shared" si="5"/>
        <v>M</v>
      </c>
      <c r="T17" t="str">
        <f t="shared" si="6"/>
        <v/>
      </c>
      <c r="U17" t="str">
        <f t="shared" si="1"/>
        <v/>
      </c>
      <c r="V17" t="str">
        <f t="shared" si="2"/>
        <v>same</v>
      </c>
      <c r="W17" t="str">
        <f t="shared" si="3"/>
        <v>same</v>
      </c>
    </row>
    <row r="18" spans="1:23" x14ac:dyDescent="0.3">
      <c r="A18" t="s">
        <v>74</v>
      </c>
      <c r="B18" s="1">
        <v>46272.548612037041</v>
      </c>
      <c r="C18" t="s">
        <v>18</v>
      </c>
      <c r="D18" t="s">
        <v>19</v>
      </c>
      <c r="E18" t="s">
        <v>64</v>
      </c>
      <c r="F18" t="s">
        <v>42</v>
      </c>
      <c r="G18" t="s">
        <v>22</v>
      </c>
      <c r="H18" t="s">
        <v>35</v>
      </c>
      <c r="I18" t="s">
        <v>24</v>
      </c>
      <c r="J18">
        <v>103</v>
      </c>
      <c r="K18" t="s">
        <v>69</v>
      </c>
      <c r="L18" t="s">
        <v>26</v>
      </c>
      <c r="M18">
        <v>103</v>
      </c>
      <c r="N18" t="s">
        <v>70</v>
      </c>
      <c r="O18" t="s">
        <v>75</v>
      </c>
      <c r="P18" t="s">
        <v>29</v>
      </c>
      <c r="Q18">
        <v>34115162489</v>
      </c>
      <c r="R18" s="2" t="str">
        <f t="shared" si="4"/>
        <v>nodejs|A1a|B1c|B2c|C1a</v>
      </c>
      <c r="S18" t="str">
        <f t="shared" si="5"/>
        <v>M</v>
      </c>
      <c r="T18" t="str">
        <f t="shared" si="6"/>
        <v>same</v>
      </c>
      <c r="U18" t="str">
        <f t="shared" si="1"/>
        <v/>
      </c>
      <c r="V18" t="str">
        <f t="shared" si="2"/>
        <v>same</v>
      </c>
      <c r="W18" t="str">
        <f t="shared" si="3"/>
        <v>same</v>
      </c>
    </row>
    <row r="19" spans="1:23" x14ac:dyDescent="0.3">
      <c r="A19" t="s">
        <v>76</v>
      </c>
      <c r="B19" s="1">
        <v>46272.549445173609</v>
      </c>
      <c r="C19" t="s">
        <v>18</v>
      </c>
      <c r="D19" t="s">
        <v>19</v>
      </c>
      <c r="E19" t="s">
        <v>64</v>
      </c>
      <c r="F19" t="s">
        <v>42</v>
      </c>
      <c r="G19" t="s">
        <v>31</v>
      </c>
      <c r="H19" t="s">
        <v>35</v>
      </c>
      <c r="I19" t="s">
        <v>24</v>
      </c>
      <c r="J19">
        <v>103</v>
      </c>
      <c r="K19" t="s">
        <v>69</v>
      </c>
      <c r="L19" t="s">
        <v>26</v>
      </c>
      <c r="M19">
        <v>103</v>
      </c>
      <c r="N19" t="s">
        <v>70</v>
      </c>
      <c r="O19" t="s">
        <v>77</v>
      </c>
      <c r="P19" t="s">
        <v>29</v>
      </c>
      <c r="Q19">
        <v>34115272384</v>
      </c>
      <c r="R19" s="2" t="str">
        <f t="shared" si="4"/>
        <v>nodejs|A1a|B1c|B2c|C1c</v>
      </c>
      <c r="S19" t="str">
        <f t="shared" si="5"/>
        <v>M</v>
      </c>
      <c r="T19" t="str">
        <f t="shared" si="6"/>
        <v/>
      </c>
      <c r="U19" t="str">
        <f t="shared" si="1"/>
        <v/>
      </c>
      <c r="V19" t="str">
        <f t="shared" si="2"/>
        <v>same</v>
      </c>
      <c r="W19" t="str">
        <f t="shared" si="3"/>
        <v>same</v>
      </c>
    </row>
    <row r="20" spans="1:23" x14ac:dyDescent="0.3">
      <c r="A20" t="s">
        <v>78</v>
      </c>
      <c r="B20" s="1">
        <v>46272.549885636574</v>
      </c>
      <c r="C20" t="s">
        <v>18</v>
      </c>
      <c r="D20" t="s">
        <v>19</v>
      </c>
      <c r="E20" t="s">
        <v>79</v>
      </c>
      <c r="F20" t="s">
        <v>21</v>
      </c>
      <c r="G20" t="s">
        <v>22</v>
      </c>
      <c r="H20" t="s">
        <v>48</v>
      </c>
      <c r="I20" t="s">
        <v>49</v>
      </c>
      <c r="K20" t="s">
        <v>49</v>
      </c>
      <c r="L20" t="s">
        <v>49</v>
      </c>
      <c r="N20" t="s">
        <v>49</v>
      </c>
      <c r="O20" t="s">
        <v>80</v>
      </c>
      <c r="P20" t="s">
        <v>29</v>
      </c>
      <c r="Q20">
        <v>34115330065</v>
      </c>
      <c r="R20" s="2" t="str">
        <f t="shared" si="4"/>
        <v>nodejs|A1a|B1d|B2a|C1a</v>
      </c>
      <c r="S20" t="str">
        <f t="shared" si="5"/>
        <v>E</v>
      </c>
      <c r="T20" t="str">
        <f t="shared" si="6"/>
        <v>same</v>
      </c>
      <c r="U20" t="str">
        <f t="shared" si="1"/>
        <v/>
      </c>
      <c r="V20" t="str">
        <f t="shared" si="2"/>
        <v/>
      </c>
      <c r="W20" t="str">
        <f t="shared" si="3"/>
        <v>same</v>
      </c>
    </row>
    <row r="21" spans="1:23" x14ac:dyDescent="0.3">
      <c r="A21" t="s">
        <v>81</v>
      </c>
      <c r="B21" s="1">
        <v>46272.550746898145</v>
      </c>
      <c r="C21" t="s">
        <v>18</v>
      </c>
      <c r="D21" t="s">
        <v>19</v>
      </c>
      <c r="E21" t="s">
        <v>79</v>
      </c>
      <c r="F21" t="s">
        <v>21</v>
      </c>
      <c r="G21" t="s">
        <v>31</v>
      </c>
      <c r="H21" t="s">
        <v>48</v>
      </c>
      <c r="I21" t="s">
        <v>49</v>
      </c>
      <c r="K21" t="s">
        <v>49</v>
      </c>
      <c r="L21" t="s">
        <v>49</v>
      </c>
      <c r="N21" t="s">
        <v>49</v>
      </c>
      <c r="O21" t="s">
        <v>82</v>
      </c>
      <c r="P21" t="s">
        <v>29</v>
      </c>
      <c r="Q21">
        <v>34115441545</v>
      </c>
      <c r="R21" s="2" t="str">
        <f t="shared" si="4"/>
        <v>nodejs|A1a|B1d|B2a|C1c</v>
      </c>
      <c r="S21" t="str">
        <f t="shared" si="5"/>
        <v>E</v>
      </c>
      <c r="T21" t="str">
        <f t="shared" si="6"/>
        <v/>
      </c>
      <c r="U21" t="str">
        <f t="shared" si="1"/>
        <v/>
      </c>
      <c r="V21" t="str">
        <f t="shared" si="2"/>
        <v/>
      </c>
      <c r="W21" t="str">
        <f t="shared" si="3"/>
        <v>same</v>
      </c>
    </row>
    <row r="22" spans="1:23" x14ac:dyDescent="0.3">
      <c r="A22" t="s">
        <v>83</v>
      </c>
      <c r="B22" s="1">
        <v>46272.551203194445</v>
      </c>
      <c r="C22" t="s">
        <v>18</v>
      </c>
      <c r="D22" t="s">
        <v>19</v>
      </c>
      <c r="E22" t="s">
        <v>79</v>
      </c>
      <c r="F22" t="s">
        <v>34</v>
      </c>
      <c r="G22" t="s">
        <v>22</v>
      </c>
      <c r="H22" t="s">
        <v>35</v>
      </c>
      <c r="I22" t="s">
        <v>24</v>
      </c>
      <c r="J22">
        <v>103</v>
      </c>
      <c r="K22" t="s">
        <v>54</v>
      </c>
      <c r="L22" t="s">
        <v>26</v>
      </c>
      <c r="M22">
        <v>103</v>
      </c>
      <c r="N22" t="s">
        <v>55</v>
      </c>
      <c r="O22" t="s">
        <v>84</v>
      </c>
      <c r="P22" t="s">
        <v>29</v>
      </c>
      <c r="Q22">
        <v>34115499907</v>
      </c>
      <c r="R22" s="2" t="str">
        <f t="shared" si="4"/>
        <v>nodejs|A1a|B1d|B2b|C1a</v>
      </c>
      <c r="S22" t="str">
        <f t="shared" si="5"/>
        <v>M</v>
      </c>
      <c r="T22" t="str">
        <f t="shared" si="6"/>
        <v>same</v>
      </c>
      <c r="U22" t="str">
        <f t="shared" si="1"/>
        <v/>
      </c>
      <c r="V22" t="str">
        <f t="shared" si="2"/>
        <v/>
      </c>
      <c r="W22" t="str">
        <f t="shared" si="3"/>
        <v>same</v>
      </c>
    </row>
    <row r="23" spans="1:23" x14ac:dyDescent="0.3">
      <c r="A23" t="s">
        <v>85</v>
      </c>
      <c r="B23" s="1">
        <v>46272.552121909721</v>
      </c>
      <c r="C23" t="s">
        <v>18</v>
      </c>
      <c r="D23" t="s">
        <v>19</v>
      </c>
      <c r="E23" t="s">
        <v>79</v>
      </c>
      <c r="F23" t="s">
        <v>34</v>
      </c>
      <c r="G23" t="s">
        <v>31</v>
      </c>
      <c r="H23" t="s">
        <v>35</v>
      </c>
      <c r="I23" t="s">
        <v>24</v>
      </c>
      <c r="J23">
        <v>103</v>
      </c>
      <c r="K23" t="s">
        <v>54</v>
      </c>
      <c r="L23" t="s">
        <v>26</v>
      </c>
      <c r="M23">
        <v>103</v>
      </c>
      <c r="N23" t="s">
        <v>55</v>
      </c>
      <c r="O23" t="s">
        <v>86</v>
      </c>
      <c r="P23" t="s">
        <v>29</v>
      </c>
      <c r="Q23">
        <v>34115617847</v>
      </c>
      <c r="R23" s="2" t="str">
        <f t="shared" si="4"/>
        <v>nodejs|A1a|B1d|B2b|C1c</v>
      </c>
      <c r="S23" t="str">
        <f t="shared" si="5"/>
        <v>M</v>
      </c>
      <c r="T23" t="str">
        <f t="shared" si="6"/>
        <v/>
      </c>
      <c r="U23" t="str">
        <f t="shared" si="1"/>
        <v/>
      </c>
      <c r="V23" t="str">
        <f t="shared" si="2"/>
        <v/>
      </c>
      <c r="W23" t="str">
        <f t="shared" si="3"/>
        <v>same</v>
      </c>
    </row>
    <row r="24" spans="1:23" x14ac:dyDescent="0.3">
      <c r="A24" t="s">
        <v>87</v>
      </c>
      <c r="B24" s="1">
        <v>46272.552592604166</v>
      </c>
      <c r="C24" t="s">
        <v>18</v>
      </c>
      <c r="D24" t="s">
        <v>19</v>
      </c>
      <c r="E24" t="s">
        <v>79</v>
      </c>
      <c r="F24" t="s">
        <v>42</v>
      </c>
      <c r="G24" t="s">
        <v>22</v>
      </c>
      <c r="H24" t="s">
        <v>35</v>
      </c>
      <c r="I24" t="s">
        <v>24</v>
      </c>
      <c r="J24">
        <v>103</v>
      </c>
      <c r="K24" t="s">
        <v>54</v>
      </c>
      <c r="L24" t="s">
        <v>26</v>
      </c>
      <c r="M24">
        <v>103</v>
      </c>
      <c r="N24" t="s">
        <v>55</v>
      </c>
      <c r="O24" t="s">
        <v>88</v>
      </c>
      <c r="P24" t="s">
        <v>29</v>
      </c>
      <c r="Q24">
        <v>34115678801</v>
      </c>
      <c r="R24" s="2" t="str">
        <f t="shared" si="4"/>
        <v>nodejs|A1a|B1d|B2c|C1a</v>
      </c>
      <c r="S24" t="str">
        <f t="shared" si="5"/>
        <v>M</v>
      </c>
      <c r="T24" t="str">
        <f t="shared" si="6"/>
        <v>same</v>
      </c>
      <c r="U24" t="str">
        <f t="shared" si="1"/>
        <v/>
      </c>
      <c r="V24" t="str">
        <f t="shared" si="2"/>
        <v/>
      </c>
      <c r="W24" t="str">
        <f t="shared" si="3"/>
        <v>same</v>
      </c>
    </row>
    <row r="25" spans="1:23" x14ac:dyDescent="0.3">
      <c r="A25" t="s">
        <v>89</v>
      </c>
      <c r="B25" s="1">
        <v>46272.553412314817</v>
      </c>
      <c r="C25" t="s">
        <v>18</v>
      </c>
      <c r="D25" t="s">
        <v>19</v>
      </c>
      <c r="E25" t="s">
        <v>79</v>
      </c>
      <c r="F25" t="s">
        <v>42</v>
      </c>
      <c r="G25" t="s">
        <v>31</v>
      </c>
      <c r="H25" t="s">
        <v>35</v>
      </c>
      <c r="I25" t="s">
        <v>24</v>
      </c>
      <c r="J25">
        <v>103</v>
      </c>
      <c r="K25" t="s">
        <v>54</v>
      </c>
      <c r="L25" t="s">
        <v>26</v>
      </c>
      <c r="M25">
        <v>103</v>
      </c>
      <c r="N25" t="s">
        <v>55</v>
      </c>
      <c r="O25" t="s">
        <v>90</v>
      </c>
      <c r="P25" t="s">
        <v>29</v>
      </c>
      <c r="Q25">
        <v>34115784848</v>
      </c>
      <c r="R25" s="2" t="str">
        <f t="shared" si="4"/>
        <v>nodejs|A1a|B1d|B2c|C1c</v>
      </c>
      <c r="S25" t="str">
        <f t="shared" si="5"/>
        <v>M</v>
      </c>
      <c r="T25" t="str">
        <f t="shared" si="6"/>
        <v/>
      </c>
      <c r="U25" t="str">
        <f t="shared" si="1"/>
        <v/>
      </c>
      <c r="V25" t="str">
        <f t="shared" si="2"/>
        <v/>
      </c>
      <c r="W25" t="str">
        <f t="shared" si="3"/>
        <v>same</v>
      </c>
    </row>
    <row r="26" spans="1:23" x14ac:dyDescent="0.3">
      <c r="A26" t="s">
        <v>91</v>
      </c>
      <c r="B26" s="1">
        <v>46272.553844050926</v>
      </c>
      <c r="C26" t="s">
        <v>18</v>
      </c>
      <c r="D26" t="s">
        <v>92</v>
      </c>
      <c r="E26" t="s">
        <v>20</v>
      </c>
      <c r="F26" t="s">
        <v>21</v>
      </c>
      <c r="G26" t="s">
        <v>22</v>
      </c>
      <c r="H26" t="s">
        <v>23</v>
      </c>
      <c r="I26" t="s">
        <v>24</v>
      </c>
      <c r="J26">
        <v>100</v>
      </c>
      <c r="K26" t="s">
        <v>93</v>
      </c>
      <c r="L26" t="s">
        <v>26</v>
      </c>
      <c r="M26">
        <v>100</v>
      </c>
      <c r="N26" t="s">
        <v>94</v>
      </c>
      <c r="O26" t="s">
        <v>95</v>
      </c>
      <c r="P26" t="s">
        <v>29</v>
      </c>
      <c r="Q26">
        <v>34115837590</v>
      </c>
      <c r="R26" s="2" t="str">
        <f t="shared" si="4"/>
        <v>nodejs|A1b|B1a|B2a|C1a</v>
      </c>
      <c r="S26" t="str">
        <f t="shared" si="5"/>
        <v>P</v>
      </c>
      <c r="T26" t="str">
        <f t="shared" si="6"/>
        <v>same</v>
      </c>
      <c r="U26" t="str">
        <f t="shared" si="1"/>
        <v/>
      </c>
      <c r="V26" t="str">
        <f t="shared" si="2"/>
        <v/>
      </c>
      <c r="W26" t="str">
        <f t="shared" si="3"/>
        <v/>
      </c>
    </row>
    <row r="27" spans="1:23" x14ac:dyDescent="0.3">
      <c r="A27" t="s">
        <v>96</v>
      </c>
      <c r="B27" s="1">
        <v>46272.554704467591</v>
      </c>
      <c r="C27" t="s">
        <v>18</v>
      </c>
      <c r="D27" t="s">
        <v>92</v>
      </c>
      <c r="E27" t="s">
        <v>20</v>
      </c>
      <c r="F27" t="s">
        <v>21</v>
      </c>
      <c r="G27" t="s">
        <v>31</v>
      </c>
      <c r="H27" t="s">
        <v>23</v>
      </c>
      <c r="I27" t="s">
        <v>24</v>
      </c>
      <c r="J27">
        <v>100</v>
      </c>
      <c r="K27" t="s">
        <v>93</v>
      </c>
      <c r="L27" t="s">
        <v>26</v>
      </c>
      <c r="M27">
        <v>100</v>
      </c>
      <c r="N27" t="s">
        <v>94</v>
      </c>
      <c r="O27" t="s">
        <v>97</v>
      </c>
      <c r="P27" t="s">
        <v>29</v>
      </c>
      <c r="Q27">
        <v>34115935529</v>
      </c>
      <c r="R27" s="2" t="str">
        <f t="shared" si="4"/>
        <v>nodejs|A1b|B1a|B2a|C1c</v>
      </c>
      <c r="S27" t="str">
        <f t="shared" si="5"/>
        <v>P</v>
      </c>
      <c r="T27" t="str">
        <f t="shared" si="6"/>
        <v/>
      </c>
      <c r="U27" t="str">
        <f t="shared" si="1"/>
        <v/>
      </c>
      <c r="V27" t="str">
        <f t="shared" si="2"/>
        <v/>
      </c>
      <c r="W27" t="str">
        <f t="shared" si="3"/>
        <v/>
      </c>
    </row>
    <row r="28" spans="1:23" x14ac:dyDescent="0.3">
      <c r="A28" t="s">
        <v>98</v>
      </c>
      <c r="B28" s="1">
        <v>46272.555149293985</v>
      </c>
      <c r="C28" t="s">
        <v>18</v>
      </c>
      <c r="D28" t="s">
        <v>92</v>
      </c>
      <c r="E28" t="s">
        <v>20</v>
      </c>
      <c r="F28" t="s">
        <v>34</v>
      </c>
      <c r="G28" t="s">
        <v>22</v>
      </c>
      <c r="H28" t="s">
        <v>35</v>
      </c>
      <c r="I28" t="s">
        <v>24</v>
      </c>
      <c r="J28">
        <v>103</v>
      </c>
      <c r="K28" t="s">
        <v>99</v>
      </c>
      <c r="L28" t="s">
        <v>26</v>
      </c>
      <c r="M28">
        <v>103</v>
      </c>
      <c r="N28" t="s">
        <v>100</v>
      </c>
      <c r="O28" t="s">
        <v>101</v>
      </c>
      <c r="P28" t="s">
        <v>29</v>
      </c>
      <c r="Q28">
        <v>34115994072</v>
      </c>
      <c r="R28" s="2" t="str">
        <f t="shared" si="4"/>
        <v>nodejs|A1b|B1a|B2b|C1a</v>
      </c>
      <c r="S28" t="str">
        <f t="shared" si="5"/>
        <v>M</v>
      </c>
      <c r="T28" t="str">
        <f t="shared" si="6"/>
        <v>same</v>
      </c>
      <c r="U28" t="str">
        <f t="shared" si="1"/>
        <v/>
      </c>
      <c r="V28" t="str">
        <f t="shared" si="2"/>
        <v/>
      </c>
      <c r="W28" t="str">
        <f t="shared" si="3"/>
        <v/>
      </c>
    </row>
    <row r="29" spans="1:23" x14ac:dyDescent="0.3">
      <c r="A29" t="s">
        <v>102</v>
      </c>
      <c r="B29" s="1">
        <v>46272.556003564816</v>
      </c>
      <c r="C29" t="s">
        <v>18</v>
      </c>
      <c r="D29" t="s">
        <v>92</v>
      </c>
      <c r="E29" t="s">
        <v>20</v>
      </c>
      <c r="F29" t="s">
        <v>34</v>
      </c>
      <c r="G29" t="s">
        <v>31</v>
      </c>
      <c r="H29" t="s">
        <v>35</v>
      </c>
      <c r="I29" t="s">
        <v>24</v>
      </c>
      <c r="J29">
        <v>103</v>
      </c>
      <c r="K29" t="s">
        <v>99</v>
      </c>
      <c r="L29" t="s">
        <v>26</v>
      </c>
      <c r="M29">
        <v>103</v>
      </c>
      <c r="N29" t="s">
        <v>100</v>
      </c>
      <c r="O29" t="s">
        <v>103</v>
      </c>
      <c r="P29" t="s">
        <v>29</v>
      </c>
      <c r="Q29">
        <v>34116096214</v>
      </c>
      <c r="R29" s="2" t="str">
        <f t="shared" si="4"/>
        <v>nodejs|A1b|B1a|B2b|C1c</v>
      </c>
      <c r="S29" t="str">
        <f t="shared" si="5"/>
        <v>M</v>
      </c>
      <c r="T29" t="str">
        <f t="shared" si="6"/>
        <v/>
      </c>
      <c r="U29" t="str">
        <f t="shared" si="1"/>
        <v/>
      </c>
      <c r="V29" t="str">
        <f t="shared" si="2"/>
        <v/>
      </c>
      <c r="W29" t="str">
        <f t="shared" si="3"/>
        <v/>
      </c>
    </row>
    <row r="30" spans="1:23" x14ac:dyDescent="0.3">
      <c r="A30" t="s">
        <v>104</v>
      </c>
      <c r="B30" s="1">
        <v>46272.556413923608</v>
      </c>
      <c r="C30" t="s">
        <v>18</v>
      </c>
      <c r="D30" t="s">
        <v>92</v>
      </c>
      <c r="E30" t="s">
        <v>20</v>
      </c>
      <c r="F30" t="s">
        <v>42</v>
      </c>
      <c r="G30" t="s">
        <v>22</v>
      </c>
      <c r="H30" t="s">
        <v>35</v>
      </c>
      <c r="I30" t="s">
        <v>24</v>
      </c>
      <c r="J30">
        <v>103</v>
      </c>
      <c r="K30" t="s">
        <v>99</v>
      </c>
      <c r="L30" t="s">
        <v>26</v>
      </c>
      <c r="M30">
        <v>103</v>
      </c>
      <c r="N30" t="s">
        <v>100</v>
      </c>
      <c r="O30" t="s">
        <v>105</v>
      </c>
      <c r="P30" t="s">
        <v>29</v>
      </c>
      <c r="Q30">
        <v>34116151303</v>
      </c>
      <c r="R30" s="2" t="str">
        <f t="shared" si="4"/>
        <v>nodejs|A1b|B1a|B2c|C1a</v>
      </c>
      <c r="S30" t="str">
        <f t="shared" si="5"/>
        <v>M</v>
      </c>
      <c r="T30" t="str">
        <f t="shared" si="6"/>
        <v>same</v>
      </c>
      <c r="U30" t="str">
        <f t="shared" si="1"/>
        <v/>
      </c>
      <c r="V30" t="str">
        <f t="shared" si="2"/>
        <v/>
      </c>
      <c r="W30" t="str">
        <f t="shared" si="3"/>
        <v/>
      </c>
    </row>
    <row r="31" spans="1:23" x14ac:dyDescent="0.3">
      <c r="A31" t="s">
        <v>106</v>
      </c>
      <c r="B31" s="1">
        <v>46272.557302083333</v>
      </c>
      <c r="C31" t="s">
        <v>18</v>
      </c>
      <c r="D31" t="s">
        <v>92</v>
      </c>
      <c r="E31" t="s">
        <v>20</v>
      </c>
      <c r="F31" t="s">
        <v>42</v>
      </c>
      <c r="G31" t="s">
        <v>31</v>
      </c>
      <c r="H31" t="s">
        <v>35</v>
      </c>
      <c r="I31" t="s">
        <v>24</v>
      </c>
      <c r="J31">
        <v>103</v>
      </c>
      <c r="K31" t="s">
        <v>99</v>
      </c>
      <c r="L31" t="s">
        <v>26</v>
      </c>
      <c r="M31">
        <v>103</v>
      </c>
      <c r="N31" t="s">
        <v>100</v>
      </c>
      <c r="O31" t="s">
        <v>107</v>
      </c>
      <c r="P31" t="s">
        <v>29</v>
      </c>
      <c r="Q31">
        <v>34116253591</v>
      </c>
      <c r="R31" s="2" t="str">
        <f t="shared" si="4"/>
        <v>nodejs|A1b|B1a|B2c|C1c</v>
      </c>
      <c r="S31" t="str">
        <f t="shared" si="5"/>
        <v>M</v>
      </c>
      <c r="T31" t="str">
        <f t="shared" si="6"/>
        <v/>
      </c>
      <c r="U31" t="str">
        <f t="shared" si="1"/>
        <v/>
      </c>
      <c r="V31" t="str">
        <f t="shared" si="2"/>
        <v/>
      </c>
      <c r="W31" t="str">
        <f t="shared" si="3"/>
        <v/>
      </c>
    </row>
    <row r="32" spans="1:23" x14ac:dyDescent="0.3">
      <c r="A32" t="s">
        <v>108</v>
      </c>
      <c r="B32" s="1">
        <v>46272.557707280095</v>
      </c>
      <c r="C32" t="s">
        <v>18</v>
      </c>
      <c r="D32" t="s">
        <v>92</v>
      </c>
      <c r="E32" t="s">
        <v>47</v>
      </c>
      <c r="F32" t="s">
        <v>21</v>
      </c>
      <c r="G32" t="s">
        <v>22</v>
      </c>
      <c r="H32" t="s">
        <v>48</v>
      </c>
      <c r="I32" t="s">
        <v>49</v>
      </c>
      <c r="K32" t="s">
        <v>49</v>
      </c>
      <c r="L32" t="s">
        <v>49</v>
      </c>
      <c r="N32" t="s">
        <v>49</v>
      </c>
      <c r="O32" t="s">
        <v>109</v>
      </c>
      <c r="P32" t="s">
        <v>29</v>
      </c>
      <c r="Q32">
        <v>34116308952</v>
      </c>
      <c r="R32" s="2" t="str">
        <f t="shared" si="4"/>
        <v>nodejs|A1b|B1b|B2a|C1a</v>
      </c>
      <c r="S32" t="str">
        <f t="shared" si="5"/>
        <v>E</v>
      </c>
      <c r="T32" t="str">
        <f t="shared" si="6"/>
        <v>same</v>
      </c>
      <c r="U32" t="str">
        <f t="shared" si="1"/>
        <v>same</v>
      </c>
      <c r="V32" t="str">
        <f t="shared" si="2"/>
        <v/>
      </c>
      <c r="W32" t="str">
        <f t="shared" si="3"/>
        <v/>
      </c>
    </row>
    <row r="33" spans="1:23" x14ac:dyDescent="0.3">
      <c r="A33" t="s">
        <v>110</v>
      </c>
      <c r="B33" s="1">
        <v>46272.558503356478</v>
      </c>
      <c r="C33" t="s">
        <v>18</v>
      </c>
      <c r="D33" t="s">
        <v>92</v>
      </c>
      <c r="E33" t="s">
        <v>47</v>
      </c>
      <c r="F33" t="s">
        <v>21</v>
      </c>
      <c r="G33" t="s">
        <v>31</v>
      </c>
      <c r="H33" t="s">
        <v>48</v>
      </c>
      <c r="I33" t="s">
        <v>49</v>
      </c>
      <c r="K33" t="s">
        <v>49</v>
      </c>
      <c r="L33" t="s">
        <v>49</v>
      </c>
      <c r="N33" t="s">
        <v>49</v>
      </c>
      <c r="O33" t="s">
        <v>111</v>
      </c>
      <c r="P33" t="s">
        <v>29</v>
      </c>
      <c r="Q33">
        <v>34116407149</v>
      </c>
      <c r="R33" s="2" t="str">
        <f t="shared" si="4"/>
        <v>nodejs|A1b|B1b|B2a|C1c</v>
      </c>
      <c r="S33" t="str">
        <f t="shared" si="5"/>
        <v>E</v>
      </c>
      <c r="T33" t="str">
        <f t="shared" si="6"/>
        <v/>
      </c>
      <c r="U33" t="str">
        <f t="shared" si="1"/>
        <v>same</v>
      </c>
      <c r="V33" t="str">
        <f t="shared" si="2"/>
        <v/>
      </c>
      <c r="W33" t="str">
        <f t="shared" si="3"/>
        <v/>
      </c>
    </row>
    <row r="34" spans="1:23" x14ac:dyDescent="0.3">
      <c r="A34" t="s">
        <v>112</v>
      </c>
      <c r="B34" s="1">
        <v>46272.558906932871</v>
      </c>
      <c r="C34" t="s">
        <v>18</v>
      </c>
      <c r="D34" t="s">
        <v>92</v>
      </c>
      <c r="E34" t="s">
        <v>47</v>
      </c>
      <c r="F34" t="s">
        <v>34</v>
      </c>
      <c r="G34" t="s">
        <v>22</v>
      </c>
      <c r="H34" t="s">
        <v>35</v>
      </c>
      <c r="I34" t="s">
        <v>24</v>
      </c>
      <c r="J34">
        <v>103</v>
      </c>
      <c r="K34" t="s">
        <v>54</v>
      </c>
      <c r="L34" t="s">
        <v>26</v>
      </c>
      <c r="M34">
        <v>103</v>
      </c>
      <c r="N34" t="s">
        <v>55</v>
      </c>
      <c r="O34" t="s">
        <v>113</v>
      </c>
      <c r="P34" t="s">
        <v>29</v>
      </c>
      <c r="Q34">
        <v>34116456879</v>
      </c>
      <c r="R34" s="2" t="str">
        <f t="shared" si="4"/>
        <v>nodejs|A1b|B1b|B2b|C1a</v>
      </c>
      <c r="S34" t="str">
        <f t="shared" si="5"/>
        <v>M</v>
      </c>
      <c r="T34" t="str">
        <f t="shared" si="6"/>
        <v>same</v>
      </c>
      <c r="U34" t="str">
        <f t="shared" si="1"/>
        <v>same</v>
      </c>
      <c r="V34" t="str">
        <f t="shared" si="2"/>
        <v/>
      </c>
      <c r="W34" t="str">
        <f t="shared" si="3"/>
        <v/>
      </c>
    </row>
    <row r="35" spans="1:23" x14ac:dyDescent="0.3">
      <c r="A35" t="s">
        <v>114</v>
      </c>
      <c r="B35" s="1">
        <v>46272.55979846065</v>
      </c>
      <c r="C35" t="s">
        <v>18</v>
      </c>
      <c r="D35" t="s">
        <v>92</v>
      </c>
      <c r="E35" t="s">
        <v>47</v>
      </c>
      <c r="F35" t="s">
        <v>34</v>
      </c>
      <c r="G35" t="s">
        <v>31</v>
      </c>
      <c r="H35" t="s">
        <v>35</v>
      </c>
      <c r="I35" t="s">
        <v>24</v>
      </c>
      <c r="J35">
        <v>103</v>
      </c>
      <c r="K35" t="s">
        <v>54</v>
      </c>
      <c r="L35" t="s">
        <v>26</v>
      </c>
      <c r="M35">
        <v>103</v>
      </c>
      <c r="N35" t="s">
        <v>55</v>
      </c>
      <c r="O35" t="s">
        <v>115</v>
      </c>
      <c r="P35" t="s">
        <v>29</v>
      </c>
      <c r="Q35">
        <v>34116567249</v>
      </c>
      <c r="R35" s="2" t="str">
        <f t="shared" si="4"/>
        <v>nodejs|A1b|B1b|B2b|C1c</v>
      </c>
      <c r="S35" t="str">
        <f t="shared" si="5"/>
        <v>M</v>
      </c>
      <c r="T35" t="str">
        <f t="shared" si="6"/>
        <v/>
      </c>
      <c r="U35" t="str">
        <f t="shared" si="1"/>
        <v>same</v>
      </c>
      <c r="V35" t="str">
        <f t="shared" si="2"/>
        <v/>
      </c>
      <c r="W35" t="str">
        <f t="shared" si="3"/>
        <v/>
      </c>
    </row>
    <row r="36" spans="1:23" x14ac:dyDescent="0.3">
      <c r="A36" t="s">
        <v>116</v>
      </c>
      <c r="B36" s="1">
        <v>46272.560198101855</v>
      </c>
      <c r="C36" t="s">
        <v>18</v>
      </c>
      <c r="D36" t="s">
        <v>92</v>
      </c>
      <c r="E36" t="s">
        <v>47</v>
      </c>
      <c r="F36" t="s">
        <v>42</v>
      </c>
      <c r="G36" t="s">
        <v>22</v>
      </c>
      <c r="H36" t="s">
        <v>35</v>
      </c>
      <c r="I36" t="s">
        <v>24</v>
      </c>
      <c r="J36">
        <v>103</v>
      </c>
      <c r="K36" t="s">
        <v>54</v>
      </c>
      <c r="L36" t="s">
        <v>26</v>
      </c>
      <c r="M36">
        <v>103</v>
      </c>
      <c r="N36" t="s">
        <v>55</v>
      </c>
      <c r="O36" t="s">
        <v>117</v>
      </c>
      <c r="P36" t="s">
        <v>29</v>
      </c>
      <c r="Q36">
        <v>34116621847</v>
      </c>
      <c r="R36" s="2" t="str">
        <f t="shared" si="4"/>
        <v>nodejs|A1b|B1b|B2c|C1a</v>
      </c>
      <c r="S36" t="str">
        <f t="shared" si="5"/>
        <v>M</v>
      </c>
      <c r="T36" t="str">
        <f t="shared" si="6"/>
        <v>same</v>
      </c>
      <c r="U36" t="str">
        <f t="shared" si="1"/>
        <v>same</v>
      </c>
      <c r="V36" t="str">
        <f t="shared" si="2"/>
        <v/>
      </c>
      <c r="W36" t="str">
        <f t="shared" si="3"/>
        <v/>
      </c>
    </row>
    <row r="37" spans="1:23" x14ac:dyDescent="0.3">
      <c r="A37" t="s">
        <v>118</v>
      </c>
      <c r="B37" s="1">
        <v>46272.561040081018</v>
      </c>
      <c r="C37" t="s">
        <v>18</v>
      </c>
      <c r="D37" t="s">
        <v>92</v>
      </c>
      <c r="E37" t="s">
        <v>47</v>
      </c>
      <c r="F37" t="s">
        <v>42</v>
      </c>
      <c r="G37" t="s">
        <v>31</v>
      </c>
      <c r="H37" t="s">
        <v>35</v>
      </c>
      <c r="I37" t="s">
        <v>24</v>
      </c>
      <c r="J37">
        <v>103</v>
      </c>
      <c r="K37" t="s">
        <v>54</v>
      </c>
      <c r="L37" t="s">
        <v>26</v>
      </c>
      <c r="M37">
        <v>103</v>
      </c>
      <c r="N37" t="s">
        <v>55</v>
      </c>
      <c r="O37" t="s">
        <v>119</v>
      </c>
      <c r="P37" t="s">
        <v>29</v>
      </c>
      <c r="Q37">
        <v>34116718007</v>
      </c>
      <c r="R37" s="2" t="str">
        <f t="shared" si="4"/>
        <v>nodejs|A1b|B1b|B2c|C1c</v>
      </c>
      <c r="S37" t="str">
        <f t="shared" si="5"/>
        <v>M</v>
      </c>
      <c r="T37" t="str">
        <f t="shared" si="6"/>
        <v/>
      </c>
      <c r="U37" t="str">
        <f t="shared" si="1"/>
        <v>same</v>
      </c>
      <c r="V37" t="str">
        <f t="shared" si="2"/>
        <v/>
      </c>
      <c r="W37" t="str">
        <f t="shared" si="3"/>
        <v/>
      </c>
    </row>
    <row r="38" spans="1:23" x14ac:dyDescent="0.3">
      <c r="A38" t="s">
        <v>120</v>
      </c>
      <c r="B38" s="1">
        <v>46272.561431956019</v>
      </c>
      <c r="C38" t="s">
        <v>18</v>
      </c>
      <c r="D38" t="s">
        <v>92</v>
      </c>
      <c r="E38" t="s">
        <v>64</v>
      </c>
      <c r="F38" t="s">
        <v>21</v>
      </c>
      <c r="G38" t="s">
        <v>22</v>
      </c>
      <c r="H38" t="s">
        <v>48</v>
      </c>
      <c r="I38" t="s">
        <v>49</v>
      </c>
      <c r="K38" t="s">
        <v>49</v>
      </c>
      <c r="L38" t="s">
        <v>49</v>
      </c>
      <c r="N38" t="s">
        <v>49</v>
      </c>
      <c r="O38" t="s">
        <v>121</v>
      </c>
      <c r="P38" t="s">
        <v>29</v>
      </c>
      <c r="Q38">
        <v>34116770132</v>
      </c>
      <c r="R38" s="2" t="str">
        <f t="shared" si="4"/>
        <v>nodejs|A1b|B1c|B2a|C1a</v>
      </c>
      <c r="S38" t="str">
        <f t="shared" si="5"/>
        <v>E</v>
      </c>
      <c r="T38" t="str">
        <f t="shared" si="6"/>
        <v>same</v>
      </c>
      <c r="U38" t="str">
        <f t="shared" si="1"/>
        <v/>
      </c>
      <c r="V38" t="str">
        <f t="shared" si="2"/>
        <v>same</v>
      </c>
      <c r="W38" t="str">
        <f t="shared" si="3"/>
        <v/>
      </c>
    </row>
    <row r="39" spans="1:23" x14ac:dyDescent="0.3">
      <c r="A39" t="s">
        <v>122</v>
      </c>
      <c r="B39" s="1">
        <v>46272.562225787035</v>
      </c>
      <c r="C39" t="s">
        <v>18</v>
      </c>
      <c r="D39" t="s">
        <v>92</v>
      </c>
      <c r="E39" t="s">
        <v>64</v>
      </c>
      <c r="F39" t="s">
        <v>21</v>
      </c>
      <c r="G39" t="s">
        <v>31</v>
      </c>
      <c r="H39" t="s">
        <v>48</v>
      </c>
      <c r="I39" t="s">
        <v>49</v>
      </c>
      <c r="K39" t="s">
        <v>49</v>
      </c>
      <c r="L39" t="s">
        <v>49</v>
      </c>
      <c r="N39" t="s">
        <v>49</v>
      </c>
      <c r="O39" t="s">
        <v>123</v>
      </c>
      <c r="P39" t="s">
        <v>29</v>
      </c>
      <c r="Q39">
        <v>34116863329</v>
      </c>
      <c r="R39" s="2" t="str">
        <f t="shared" si="4"/>
        <v>nodejs|A1b|B1c|B2a|C1c</v>
      </c>
      <c r="S39" t="str">
        <f t="shared" si="5"/>
        <v>E</v>
      </c>
      <c r="T39" t="str">
        <f t="shared" si="6"/>
        <v/>
      </c>
      <c r="U39" t="str">
        <f t="shared" si="1"/>
        <v/>
      </c>
      <c r="V39" t="str">
        <f t="shared" si="2"/>
        <v>same</v>
      </c>
      <c r="W39" t="str">
        <f t="shared" si="3"/>
        <v/>
      </c>
    </row>
    <row r="40" spans="1:23" x14ac:dyDescent="0.3">
      <c r="A40" t="s">
        <v>124</v>
      </c>
      <c r="B40" s="1">
        <v>46272.562662962962</v>
      </c>
      <c r="C40" t="s">
        <v>18</v>
      </c>
      <c r="D40" t="s">
        <v>92</v>
      </c>
      <c r="E40" t="s">
        <v>64</v>
      </c>
      <c r="F40" t="s">
        <v>34</v>
      </c>
      <c r="G40" t="s">
        <v>22</v>
      </c>
      <c r="H40" t="s">
        <v>35</v>
      </c>
      <c r="I40" t="s">
        <v>24</v>
      </c>
      <c r="J40">
        <v>103</v>
      </c>
      <c r="K40" t="s">
        <v>69</v>
      </c>
      <c r="L40" t="s">
        <v>26</v>
      </c>
      <c r="M40">
        <v>103</v>
      </c>
      <c r="N40" t="s">
        <v>70</v>
      </c>
      <c r="O40" t="s">
        <v>125</v>
      </c>
      <c r="P40" t="s">
        <v>29</v>
      </c>
      <c r="Q40">
        <v>34116911633</v>
      </c>
      <c r="R40" s="2" t="str">
        <f t="shared" si="4"/>
        <v>nodejs|A1b|B1c|B2b|C1a</v>
      </c>
      <c r="S40" t="str">
        <f t="shared" si="5"/>
        <v>M</v>
      </c>
      <c r="T40" t="str">
        <f t="shared" si="6"/>
        <v>same</v>
      </c>
      <c r="U40" t="str">
        <f t="shared" si="1"/>
        <v/>
      </c>
      <c r="V40" t="str">
        <f t="shared" si="2"/>
        <v>same</v>
      </c>
      <c r="W40" t="str">
        <f t="shared" si="3"/>
        <v/>
      </c>
    </row>
    <row r="41" spans="1:23" x14ac:dyDescent="0.3">
      <c r="A41" t="s">
        <v>126</v>
      </c>
      <c r="B41" s="1">
        <v>46272.563500787037</v>
      </c>
      <c r="C41" t="s">
        <v>18</v>
      </c>
      <c r="D41" t="s">
        <v>92</v>
      </c>
      <c r="E41" t="s">
        <v>64</v>
      </c>
      <c r="F41" t="s">
        <v>34</v>
      </c>
      <c r="G41" t="s">
        <v>31</v>
      </c>
      <c r="H41" t="s">
        <v>35</v>
      </c>
      <c r="I41" t="s">
        <v>24</v>
      </c>
      <c r="J41">
        <v>103</v>
      </c>
      <c r="K41" t="s">
        <v>69</v>
      </c>
      <c r="L41" t="s">
        <v>26</v>
      </c>
      <c r="M41">
        <v>103</v>
      </c>
      <c r="N41" t="s">
        <v>70</v>
      </c>
      <c r="O41" t="s">
        <v>127</v>
      </c>
      <c r="P41" t="s">
        <v>29</v>
      </c>
      <c r="Q41">
        <v>34117020007</v>
      </c>
      <c r="R41" s="2" t="str">
        <f t="shared" si="4"/>
        <v>nodejs|A1b|B1c|B2b|C1c</v>
      </c>
      <c r="S41" t="str">
        <f t="shared" si="5"/>
        <v>M</v>
      </c>
      <c r="T41" t="str">
        <f t="shared" si="6"/>
        <v/>
      </c>
      <c r="U41" t="str">
        <f t="shared" si="1"/>
        <v/>
      </c>
      <c r="V41" t="str">
        <f t="shared" si="2"/>
        <v>same</v>
      </c>
      <c r="W41" t="str">
        <f t="shared" si="3"/>
        <v/>
      </c>
    </row>
    <row r="42" spans="1:23" x14ac:dyDescent="0.3">
      <c r="A42" t="s">
        <v>128</v>
      </c>
      <c r="B42" s="1">
        <v>46272.563944594905</v>
      </c>
      <c r="C42" t="s">
        <v>18</v>
      </c>
      <c r="D42" t="s">
        <v>92</v>
      </c>
      <c r="E42" t="s">
        <v>64</v>
      </c>
      <c r="F42" t="s">
        <v>42</v>
      </c>
      <c r="G42" t="s">
        <v>22</v>
      </c>
      <c r="H42" t="s">
        <v>35</v>
      </c>
      <c r="I42" t="s">
        <v>24</v>
      </c>
      <c r="J42">
        <v>103</v>
      </c>
      <c r="K42" t="s">
        <v>69</v>
      </c>
      <c r="L42" t="s">
        <v>26</v>
      </c>
      <c r="M42">
        <v>103</v>
      </c>
      <c r="N42" t="s">
        <v>70</v>
      </c>
      <c r="O42" t="s">
        <v>129</v>
      </c>
      <c r="P42" t="s">
        <v>29</v>
      </c>
      <c r="Q42">
        <v>34117073958</v>
      </c>
      <c r="R42" s="2" t="str">
        <f t="shared" si="4"/>
        <v>nodejs|A1b|B1c|B2c|C1a</v>
      </c>
      <c r="S42" t="str">
        <f t="shared" si="5"/>
        <v>M</v>
      </c>
      <c r="T42" t="str">
        <f t="shared" si="6"/>
        <v>same</v>
      </c>
      <c r="U42" t="str">
        <f t="shared" si="1"/>
        <v/>
      </c>
      <c r="V42" t="str">
        <f t="shared" si="2"/>
        <v>same</v>
      </c>
      <c r="W42" t="str">
        <f t="shared" si="3"/>
        <v/>
      </c>
    </row>
    <row r="43" spans="1:23" x14ac:dyDescent="0.3">
      <c r="A43" t="s">
        <v>130</v>
      </c>
      <c r="B43" s="1">
        <v>46272.564773969905</v>
      </c>
      <c r="C43" t="s">
        <v>18</v>
      </c>
      <c r="D43" t="s">
        <v>92</v>
      </c>
      <c r="E43" t="s">
        <v>64</v>
      </c>
      <c r="F43" t="s">
        <v>42</v>
      </c>
      <c r="G43" t="s">
        <v>31</v>
      </c>
      <c r="H43" t="s">
        <v>35</v>
      </c>
      <c r="I43" t="s">
        <v>24</v>
      </c>
      <c r="J43">
        <v>103</v>
      </c>
      <c r="K43" t="s">
        <v>69</v>
      </c>
      <c r="L43" t="s">
        <v>26</v>
      </c>
      <c r="M43">
        <v>103</v>
      </c>
      <c r="N43" t="s">
        <v>70</v>
      </c>
      <c r="O43" t="s">
        <v>131</v>
      </c>
      <c r="P43" t="s">
        <v>29</v>
      </c>
      <c r="Q43">
        <v>34117177741</v>
      </c>
      <c r="R43" s="2" t="str">
        <f t="shared" si="4"/>
        <v>nodejs|A1b|B1c|B2c|C1c</v>
      </c>
      <c r="S43" t="str">
        <f t="shared" si="5"/>
        <v>M</v>
      </c>
      <c r="T43" t="str">
        <f t="shared" si="6"/>
        <v/>
      </c>
      <c r="U43" t="str">
        <f t="shared" si="1"/>
        <v/>
      </c>
      <c r="V43" t="str">
        <f t="shared" si="2"/>
        <v>same</v>
      </c>
      <c r="W43" t="str">
        <f t="shared" si="3"/>
        <v/>
      </c>
    </row>
    <row r="44" spans="1:23" x14ac:dyDescent="0.3">
      <c r="A44" t="s">
        <v>132</v>
      </c>
      <c r="B44" s="1">
        <v>46272.565165613429</v>
      </c>
      <c r="C44" t="s">
        <v>18</v>
      </c>
      <c r="D44" t="s">
        <v>92</v>
      </c>
      <c r="E44" t="s">
        <v>79</v>
      </c>
      <c r="F44" t="s">
        <v>21</v>
      </c>
      <c r="G44" t="s">
        <v>22</v>
      </c>
      <c r="H44" t="s">
        <v>48</v>
      </c>
      <c r="I44" t="s">
        <v>49</v>
      </c>
      <c r="K44" t="s">
        <v>49</v>
      </c>
      <c r="L44" t="s">
        <v>49</v>
      </c>
      <c r="N44" t="s">
        <v>49</v>
      </c>
      <c r="O44" t="s">
        <v>133</v>
      </c>
      <c r="P44" t="s">
        <v>29</v>
      </c>
      <c r="Q44">
        <v>34117230118</v>
      </c>
      <c r="R44" s="2" t="str">
        <f t="shared" si="4"/>
        <v>nodejs|A1b|B1d|B2a|C1a</v>
      </c>
      <c r="S44" t="str">
        <f t="shared" si="5"/>
        <v>E</v>
      </c>
      <c r="T44" t="str">
        <f t="shared" si="6"/>
        <v>same</v>
      </c>
      <c r="U44" t="str">
        <f t="shared" si="1"/>
        <v/>
      </c>
      <c r="V44" t="str">
        <f t="shared" si="2"/>
        <v/>
      </c>
      <c r="W44" t="str">
        <f t="shared" si="3"/>
        <v/>
      </c>
    </row>
    <row r="45" spans="1:23" x14ac:dyDescent="0.3">
      <c r="A45" t="s">
        <v>134</v>
      </c>
      <c r="B45" s="1">
        <v>46272.565949826392</v>
      </c>
      <c r="C45" t="s">
        <v>18</v>
      </c>
      <c r="D45" t="s">
        <v>92</v>
      </c>
      <c r="E45" t="s">
        <v>79</v>
      </c>
      <c r="F45" t="s">
        <v>21</v>
      </c>
      <c r="G45" t="s">
        <v>31</v>
      </c>
      <c r="H45" t="s">
        <v>48</v>
      </c>
      <c r="I45" t="s">
        <v>49</v>
      </c>
      <c r="K45" t="s">
        <v>49</v>
      </c>
      <c r="L45" t="s">
        <v>49</v>
      </c>
      <c r="N45" t="s">
        <v>49</v>
      </c>
      <c r="O45" t="s">
        <v>135</v>
      </c>
      <c r="P45" t="s">
        <v>29</v>
      </c>
      <c r="Q45">
        <v>34117326219</v>
      </c>
      <c r="R45" s="2" t="str">
        <f t="shared" si="4"/>
        <v>nodejs|A1b|B1d|B2a|C1c</v>
      </c>
      <c r="S45" t="str">
        <f t="shared" si="5"/>
        <v>E</v>
      </c>
      <c r="T45" t="str">
        <f t="shared" si="6"/>
        <v/>
      </c>
      <c r="U45" t="str">
        <f t="shared" si="1"/>
        <v/>
      </c>
      <c r="V45" t="str">
        <f t="shared" si="2"/>
        <v/>
      </c>
      <c r="W45" t="str">
        <f t="shared" si="3"/>
        <v/>
      </c>
    </row>
    <row r="46" spans="1:23" x14ac:dyDescent="0.3">
      <c r="A46" t="s">
        <v>136</v>
      </c>
      <c r="B46" s="1">
        <v>46272.566342523147</v>
      </c>
      <c r="C46" t="s">
        <v>18</v>
      </c>
      <c r="D46" t="s">
        <v>92</v>
      </c>
      <c r="E46" t="s">
        <v>79</v>
      </c>
      <c r="F46" t="s">
        <v>34</v>
      </c>
      <c r="G46" t="s">
        <v>22</v>
      </c>
      <c r="H46" t="s">
        <v>35</v>
      </c>
      <c r="I46" t="s">
        <v>24</v>
      </c>
      <c r="J46">
        <v>103</v>
      </c>
      <c r="K46" t="s">
        <v>54</v>
      </c>
      <c r="L46" t="s">
        <v>26</v>
      </c>
      <c r="M46">
        <v>103</v>
      </c>
      <c r="N46" t="s">
        <v>55</v>
      </c>
      <c r="O46" t="s">
        <v>137</v>
      </c>
      <c r="P46" t="s">
        <v>29</v>
      </c>
      <c r="Q46">
        <v>34117375663</v>
      </c>
      <c r="R46" s="2" t="str">
        <f t="shared" si="4"/>
        <v>nodejs|A1b|B1d|B2b|C1a</v>
      </c>
      <c r="S46" t="str">
        <f t="shared" si="5"/>
        <v>M</v>
      </c>
      <c r="T46" t="str">
        <f t="shared" si="6"/>
        <v>same</v>
      </c>
      <c r="U46" t="str">
        <f t="shared" si="1"/>
        <v/>
      </c>
      <c r="V46" t="str">
        <f t="shared" si="2"/>
        <v/>
      </c>
      <c r="W46" t="str">
        <f t="shared" si="3"/>
        <v/>
      </c>
    </row>
    <row r="47" spans="1:23" x14ac:dyDescent="0.3">
      <c r="A47" t="s">
        <v>138</v>
      </c>
      <c r="B47" s="1">
        <v>46272.567181585648</v>
      </c>
      <c r="C47" t="s">
        <v>18</v>
      </c>
      <c r="D47" t="s">
        <v>92</v>
      </c>
      <c r="E47" t="s">
        <v>79</v>
      </c>
      <c r="F47" t="s">
        <v>34</v>
      </c>
      <c r="G47" t="s">
        <v>31</v>
      </c>
      <c r="H47" t="s">
        <v>35</v>
      </c>
      <c r="I47" t="s">
        <v>24</v>
      </c>
      <c r="J47">
        <v>103</v>
      </c>
      <c r="K47" t="s">
        <v>54</v>
      </c>
      <c r="L47" t="s">
        <v>26</v>
      </c>
      <c r="M47">
        <v>103</v>
      </c>
      <c r="N47" t="s">
        <v>55</v>
      </c>
      <c r="O47" t="s">
        <v>139</v>
      </c>
      <c r="P47" t="s">
        <v>29</v>
      </c>
      <c r="Q47">
        <v>34117475534</v>
      </c>
      <c r="R47" s="2" t="str">
        <f t="shared" si="4"/>
        <v>nodejs|A1b|B1d|B2b|C1c</v>
      </c>
      <c r="S47" t="str">
        <f t="shared" si="5"/>
        <v>M</v>
      </c>
      <c r="T47" t="str">
        <f t="shared" si="6"/>
        <v/>
      </c>
      <c r="U47" t="str">
        <f t="shared" si="1"/>
        <v/>
      </c>
      <c r="V47" t="str">
        <f t="shared" si="2"/>
        <v/>
      </c>
      <c r="W47" t="str">
        <f t="shared" si="3"/>
        <v/>
      </c>
    </row>
    <row r="48" spans="1:23" x14ac:dyDescent="0.3">
      <c r="A48" t="s">
        <v>140</v>
      </c>
      <c r="B48" s="1">
        <v>46272.567568622682</v>
      </c>
      <c r="C48" t="s">
        <v>18</v>
      </c>
      <c r="D48" t="s">
        <v>92</v>
      </c>
      <c r="E48" t="s">
        <v>79</v>
      </c>
      <c r="F48" t="s">
        <v>42</v>
      </c>
      <c r="G48" t="s">
        <v>22</v>
      </c>
      <c r="H48" t="s">
        <v>35</v>
      </c>
      <c r="I48" t="s">
        <v>24</v>
      </c>
      <c r="J48">
        <v>103</v>
      </c>
      <c r="K48" t="s">
        <v>54</v>
      </c>
      <c r="L48" t="s">
        <v>26</v>
      </c>
      <c r="M48">
        <v>103</v>
      </c>
      <c r="N48" t="s">
        <v>55</v>
      </c>
      <c r="O48" t="s">
        <v>141</v>
      </c>
      <c r="P48" t="s">
        <v>29</v>
      </c>
      <c r="Q48">
        <v>34117532741</v>
      </c>
      <c r="R48" s="2" t="str">
        <f t="shared" si="4"/>
        <v>nodejs|A1b|B1d|B2c|C1a</v>
      </c>
      <c r="S48" t="str">
        <f t="shared" si="5"/>
        <v>M</v>
      </c>
      <c r="T48" t="str">
        <f t="shared" si="6"/>
        <v>same</v>
      </c>
      <c r="U48" t="str">
        <f t="shared" si="1"/>
        <v/>
      </c>
      <c r="V48" t="str">
        <f t="shared" si="2"/>
        <v/>
      </c>
      <c r="W48" t="str">
        <f t="shared" si="3"/>
        <v/>
      </c>
    </row>
    <row r="49" spans="1:23" x14ac:dyDescent="0.3">
      <c r="A49" t="s">
        <v>142</v>
      </c>
      <c r="B49" s="1">
        <v>46272.568391817127</v>
      </c>
      <c r="C49" t="s">
        <v>18</v>
      </c>
      <c r="D49" t="s">
        <v>92</v>
      </c>
      <c r="E49" t="s">
        <v>79</v>
      </c>
      <c r="F49" t="s">
        <v>42</v>
      </c>
      <c r="G49" t="s">
        <v>31</v>
      </c>
      <c r="H49" t="s">
        <v>35</v>
      </c>
      <c r="I49" t="s">
        <v>24</v>
      </c>
      <c r="J49">
        <v>103</v>
      </c>
      <c r="K49" t="s">
        <v>54</v>
      </c>
      <c r="L49" t="s">
        <v>26</v>
      </c>
      <c r="M49">
        <v>103</v>
      </c>
      <c r="N49" t="s">
        <v>55</v>
      </c>
      <c r="O49" t="s">
        <v>143</v>
      </c>
      <c r="P49" t="s">
        <v>29</v>
      </c>
      <c r="Q49">
        <v>34117627729</v>
      </c>
      <c r="R49" s="2" t="str">
        <f t="shared" si="4"/>
        <v>nodejs|A1b|B1d|B2c|C1c</v>
      </c>
      <c r="S49" t="str">
        <f t="shared" si="5"/>
        <v>M</v>
      </c>
      <c r="T49" t="str">
        <f t="shared" si="6"/>
        <v/>
      </c>
      <c r="U49" t="str">
        <f t="shared" si="1"/>
        <v/>
      </c>
      <c r="V49" t="str">
        <f t="shared" si="2"/>
        <v/>
      </c>
      <c r="W49" t="str">
        <f t="shared" si="3"/>
        <v/>
      </c>
    </row>
    <row r="50" spans="1:23" x14ac:dyDescent="0.3">
      <c r="A50" t="s">
        <v>144</v>
      </c>
      <c r="B50" s="1">
        <v>46272.568776377317</v>
      </c>
      <c r="C50" t="s">
        <v>18</v>
      </c>
      <c r="D50" t="s">
        <v>145</v>
      </c>
      <c r="E50" t="s">
        <v>20</v>
      </c>
      <c r="F50" t="s">
        <v>21</v>
      </c>
      <c r="G50" t="s">
        <v>22</v>
      </c>
      <c r="H50" t="s">
        <v>48</v>
      </c>
      <c r="I50" t="s">
        <v>49</v>
      </c>
      <c r="K50" t="s">
        <v>49</v>
      </c>
      <c r="L50" t="s">
        <v>49</v>
      </c>
      <c r="N50" t="s">
        <v>49</v>
      </c>
      <c r="O50" t="s">
        <v>146</v>
      </c>
      <c r="P50" t="s">
        <v>29</v>
      </c>
      <c r="Q50">
        <v>34117679431</v>
      </c>
      <c r="R50" s="2" t="str">
        <f t="shared" si="4"/>
        <v>nodejs|A2|B1a|B2a|C1a</v>
      </c>
      <c r="S50" t="str">
        <f t="shared" si="5"/>
        <v>E</v>
      </c>
      <c r="T50" t="str">
        <f t="shared" si="6"/>
        <v>same</v>
      </c>
      <c r="U50" t="str">
        <f t="shared" si="1"/>
        <v/>
      </c>
      <c r="V50" t="str">
        <f t="shared" si="2"/>
        <v/>
      </c>
      <c r="W50" t="str">
        <f t="shared" si="3"/>
        <v/>
      </c>
    </row>
    <row r="51" spans="1:23" x14ac:dyDescent="0.3">
      <c r="A51" t="s">
        <v>147</v>
      </c>
      <c r="B51" s="1">
        <v>46272.569556168979</v>
      </c>
      <c r="C51" t="s">
        <v>18</v>
      </c>
      <c r="D51" t="s">
        <v>145</v>
      </c>
      <c r="E51" t="s">
        <v>20</v>
      </c>
      <c r="F51" t="s">
        <v>21</v>
      </c>
      <c r="G51" t="s">
        <v>31</v>
      </c>
      <c r="H51" t="s">
        <v>48</v>
      </c>
      <c r="I51" t="s">
        <v>49</v>
      </c>
      <c r="K51" t="s">
        <v>49</v>
      </c>
      <c r="L51" t="s">
        <v>49</v>
      </c>
      <c r="N51" t="s">
        <v>49</v>
      </c>
      <c r="O51" t="s">
        <v>148</v>
      </c>
      <c r="P51" t="s">
        <v>29</v>
      </c>
      <c r="Q51">
        <v>34117770868</v>
      </c>
      <c r="R51" s="2" t="str">
        <f t="shared" si="4"/>
        <v>nodejs|A2|B1a|B2a|C1c</v>
      </c>
      <c r="S51" t="str">
        <f t="shared" si="5"/>
        <v>E</v>
      </c>
      <c r="T51" t="str">
        <f t="shared" si="6"/>
        <v/>
      </c>
      <c r="U51" t="str">
        <f t="shared" si="1"/>
        <v/>
      </c>
      <c r="V51" t="str">
        <f t="shared" si="2"/>
        <v/>
      </c>
      <c r="W51" t="str">
        <f t="shared" si="3"/>
        <v/>
      </c>
    </row>
    <row r="52" spans="1:23" x14ac:dyDescent="0.3">
      <c r="A52" t="s">
        <v>149</v>
      </c>
      <c r="B52" s="1">
        <v>46272.569945810188</v>
      </c>
      <c r="C52" t="s">
        <v>18</v>
      </c>
      <c r="D52" t="s">
        <v>145</v>
      </c>
      <c r="E52" t="s">
        <v>20</v>
      </c>
      <c r="F52" t="s">
        <v>34</v>
      </c>
      <c r="G52" t="s">
        <v>22</v>
      </c>
      <c r="H52" t="s">
        <v>48</v>
      </c>
      <c r="I52" t="s">
        <v>49</v>
      </c>
      <c r="K52" t="s">
        <v>49</v>
      </c>
      <c r="L52" t="s">
        <v>49</v>
      </c>
      <c r="N52" t="s">
        <v>49</v>
      </c>
      <c r="O52" t="s">
        <v>150</v>
      </c>
      <c r="P52" t="s">
        <v>29</v>
      </c>
      <c r="Q52">
        <v>34117821027</v>
      </c>
      <c r="R52" s="2" t="str">
        <f t="shared" si="4"/>
        <v>nodejs|A2|B1a|B2b|C1a</v>
      </c>
      <c r="S52" t="str">
        <f t="shared" si="5"/>
        <v>E</v>
      </c>
      <c r="T52" t="str">
        <f t="shared" si="6"/>
        <v>same</v>
      </c>
      <c r="U52" t="str">
        <f t="shared" si="1"/>
        <v/>
      </c>
      <c r="V52" t="str">
        <f t="shared" si="2"/>
        <v/>
      </c>
      <c r="W52" t="str">
        <f t="shared" si="3"/>
        <v/>
      </c>
    </row>
    <row r="53" spans="1:23" x14ac:dyDescent="0.3">
      <c r="A53" t="s">
        <v>151</v>
      </c>
      <c r="B53" s="1">
        <v>46272.570720983793</v>
      </c>
      <c r="C53" t="s">
        <v>18</v>
      </c>
      <c r="D53" t="s">
        <v>145</v>
      </c>
      <c r="E53" t="s">
        <v>20</v>
      </c>
      <c r="F53" t="s">
        <v>34</v>
      </c>
      <c r="G53" t="s">
        <v>31</v>
      </c>
      <c r="H53" t="s">
        <v>48</v>
      </c>
      <c r="I53" t="s">
        <v>49</v>
      </c>
      <c r="K53" t="s">
        <v>49</v>
      </c>
      <c r="L53" t="s">
        <v>49</v>
      </c>
      <c r="N53" t="s">
        <v>49</v>
      </c>
      <c r="O53" t="s">
        <v>152</v>
      </c>
      <c r="P53" t="s">
        <v>29</v>
      </c>
      <c r="Q53">
        <v>34117918305</v>
      </c>
      <c r="R53" s="2" t="str">
        <f t="shared" si="4"/>
        <v>nodejs|A2|B1a|B2b|C1c</v>
      </c>
      <c r="S53" t="str">
        <f t="shared" si="5"/>
        <v>E</v>
      </c>
      <c r="T53" t="str">
        <f t="shared" si="6"/>
        <v/>
      </c>
      <c r="U53" t="str">
        <f t="shared" si="1"/>
        <v/>
      </c>
      <c r="V53" t="str">
        <f t="shared" si="2"/>
        <v/>
      </c>
      <c r="W53" t="str">
        <f t="shared" si="3"/>
        <v/>
      </c>
    </row>
    <row r="54" spans="1:23" x14ac:dyDescent="0.3">
      <c r="A54" t="s">
        <v>153</v>
      </c>
      <c r="B54" s="1">
        <v>46272.5711080787</v>
      </c>
      <c r="C54" t="s">
        <v>18</v>
      </c>
      <c r="D54" t="s">
        <v>145</v>
      </c>
      <c r="E54" t="s">
        <v>20</v>
      </c>
      <c r="F54" t="s">
        <v>42</v>
      </c>
      <c r="G54" t="s">
        <v>22</v>
      </c>
      <c r="H54" t="s">
        <v>48</v>
      </c>
      <c r="I54" t="s">
        <v>49</v>
      </c>
      <c r="K54" t="s">
        <v>49</v>
      </c>
      <c r="L54" t="s">
        <v>49</v>
      </c>
      <c r="N54" t="s">
        <v>49</v>
      </c>
      <c r="O54" t="s">
        <v>154</v>
      </c>
      <c r="P54" t="s">
        <v>29</v>
      </c>
      <c r="Q54">
        <v>34117966213</v>
      </c>
      <c r="R54" s="2" t="str">
        <f t="shared" si="4"/>
        <v>nodejs|A2|B1a|B2c|C1a</v>
      </c>
      <c r="S54" t="str">
        <f t="shared" si="5"/>
        <v>E</v>
      </c>
      <c r="T54" t="str">
        <f t="shared" si="6"/>
        <v>same</v>
      </c>
      <c r="U54" t="str">
        <f t="shared" si="1"/>
        <v/>
      </c>
      <c r="V54" t="str">
        <f t="shared" si="2"/>
        <v/>
      </c>
      <c r="W54" t="str">
        <f t="shared" si="3"/>
        <v/>
      </c>
    </row>
    <row r="55" spans="1:23" x14ac:dyDescent="0.3">
      <c r="A55" t="s">
        <v>155</v>
      </c>
      <c r="B55" s="1">
        <v>46272.571884502315</v>
      </c>
      <c r="C55" t="s">
        <v>18</v>
      </c>
      <c r="D55" t="s">
        <v>145</v>
      </c>
      <c r="E55" t="s">
        <v>20</v>
      </c>
      <c r="F55" t="s">
        <v>42</v>
      </c>
      <c r="G55" t="s">
        <v>31</v>
      </c>
      <c r="H55" t="s">
        <v>48</v>
      </c>
      <c r="I55" t="s">
        <v>49</v>
      </c>
      <c r="K55" t="s">
        <v>49</v>
      </c>
      <c r="L55" t="s">
        <v>49</v>
      </c>
      <c r="N55" t="s">
        <v>49</v>
      </c>
      <c r="O55" t="s">
        <v>156</v>
      </c>
      <c r="P55" t="s">
        <v>29</v>
      </c>
      <c r="Q55">
        <v>34118059587</v>
      </c>
      <c r="R55" s="2" t="str">
        <f t="shared" si="4"/>
        <v>nodejs|A2|B1a|B2c|C1c</v>
      </c>
      <c r="S55" t="str">
        <f t="shared" si="5"/>
        <v>E</v>
      </c>
      <c r="T55" t="str">
        <f t="shared" si="6"/>
        <v/>
      </c>
      <c r="U55" t="str">
        <f t="shared" si="1"/>
        <v/>
      </c>
      <c r="V55" t="str">
        <f t="shared" si="2"/>
        <v/>
      </c>
      <c r="W55" t="str">
        <f t="shared" si="3"/>
        <v/>
      </c>
    </row>
    <row r="56" spans="1:23" x14ac:dyDescent="0.3">
      <c r="A56" t="s">
        <v>157</v>
      </c>
      <c r="B56" s="1">
        <v>46272.572274722224</v>
      </c>
      <c r="C56" t="s">
        <v>18</v>
      </c>
      <c r="D56" t="s">
        <v>145</v>
      </c>
      <c r="E56" t="s">
        <v>47</v>
      </c>
      <c r="F56" t="s">
        <v>21</v>
      </c>
      <c r="G56" t="s">
        <v>22</v>
      </c>
      <c r="H56" t="s">
        <v>48</v>
      </c>
      <c r="I56" t="s">
        <v>49</v>
      </c>
      <c r="K56" t="s">
        <v>49</v>
      </c>
      <c r="L56" t="s">
        <v>49</v>
      </c>
      <c r="N56" t="s">
        <v>49</v>
      </c>
      <c r="O56" t="s">
        <v>158</v>
      </c>
      <c r="P56" t="s">
        <v>29</v>
      </c>
      <c r="Q56">
        <v>34118106463</v>
      </c>
      <c r="R56" s="2" t="str">
        <f t="shared" si="4"/>
        <v>nodejs|A2|B1b|B2a|C1a</v>
      </c>
      <c r="S56" t="str">
        <f t="shared" si="5"/>
        <v>E</v>
      </c>
      <c r="T56" t="str">
        <f t="shared" si="6"/>
        <v>same</v>
      </c>
      <c r="U56" t="str">
        <f t="shared" si="1"/>
        <v>same</v>
      </c>
      <c r="V56" t="str">
        <f t="shared" si="2"/>
        <v/>
      </c>
      <c r="W56" t="str">
        <f t="shared" si="3"/>
        <v/>
      </c>
    </row>
    <row r="57" spans="1:23" x14ac:dyDescent="0.3">
      <c r="A57" t="s">
        <v>159</v>
      </c>
      <c r="B57" s="1">
        <v>46272.573095358799</v>
      </c>
      <c r="C57" t="s">
        <v>18</v>
      </c>
      <c r="D57" t="s">
        <v>145</v>
      </c>
      <c r="E57" t="s">
        <v>47</v>
      </c>
      <c r="F57" t="s">
        <v>21</v>
      </c>
      <c r="G57" t="s">
        <v>31</v>
      </c>
      <c r="H57" t="s">
        <v>48</v>
      </c>
      <c r="I57" t="s">
        <v>49</v>
      </c>
      <c r="K57" t="s">
        <v>49</v>
      </c>
      <c r="L57" t="s">
        <v>49</v>
      </c>
      <c r="N57" t="s">
        <v>49</v>
      </c>
      <c r="O57" t="s">
        <v>160</v>
      </c>
      <c r="P57" t="s">
        <v>29</v>
      </c>
      <c r="Q57">
        <v>34118201797</v>
      </c>
      <c r="R57" s="2" t="str">
        <f t="shared" si="4"/>
        <v>nodejs|A2|B1b|B2a|C1c</v>
      </c>
      <c r="S57" t="str">
        <f t="shared" si="5"/>
        <v>E</v>
      </c>
      <c r="T57" t="str">
        <f t="shared" si="6"/>
        <v/>
      </c>
      <c r="U57" t="str">
        <f t="shared" si="1"/>
        <v>same</v>
      </c>
      <c r="V57" t="str">
        <f t="shared" si="2"/>
        <v/>
      </c>
      <c r="W57" t="str">
        <f t="shared" si="3"/>
        <v/>
      </c>
    </row>
    <row r="58" spans="1:23" x14ac:dyDescent="0.3">
      <c r="A58" t="s">
        <v>161</v>
      </c>
      <c r="B58" s="1">
        <v>46272.573483020831</v>
      </c>
      <c r="C58" t="s">
        <v>18</v>
      </c>
      <c r="D58" t="s">
        <v>145</v>
      </c>
      <c r="E58" t="s">
        <v>47</v>
      </c>
      <c r="F58" t="s">
        <v>34</v>
      </c>
      <c r="G58" t="s">
        <v>22</v>
      </c>
      <c r="H58" t="s">
        <v>35</v>
      </c>
      <c r="I58" t="s">
        <v>24</v>
      </c>
      <c r="J58">
        <v>103</v>
      </c>
      <c r="K58" t="s">
        <v>54</v>
      </c>
      <c r="L58" t="s">
        <v>26</v>
      </c>
      <c r="M58">
        <v>103</v>
      </c>
      <c r="N58" t="s">
        <v>55</v>
      </c>
      <c r="O58" t="s">
        <v>162</v>
      </c>
      <c r="P58" t="s">
        <v>29</v>
      </c>
      <c r="Q58">
        <v>34118257735</v>
      </c>
      <c r="R58" s="2" t="str">
        <f t="shared" si="4"/>
        <v>nodejs|A2|B1b|B2b|C1a</v>
      </c>
      <c r="S58" t="str">
        <f t="shared" si="5"/>
        <v>M</v>
      </c>
      <c r="T58" t="str">
        <f t="shared" si="6"/>
        <v>same</v>
      </c>
      <c r="U58" t="str">
        <f t="shared" si="1"/>
        <v>same</v>
      </c>
      <c r="V58" t="str">
        <f t="shared" si="2"/>
        <v/>
      </c>
      <c r="W58" t="str">
        <f t="shared" si="3"/>
        <v/>
      </c>
    </row>
    <row r="59" spans="1:23" x14ac:dyDescent="0.3">
      <c r="A59" t="s">
        <v>163</v>
      </c>
      <c r="B59" s="1">
        <v>46272.574261215275</v>
      </c>
      <c r="C59" t="s">
        <v>18</v>
      </c>
      <c r="D59" t="s">
        <v>145</v>
      </c>
      <c r="E59" t="s">
        <v>47</v>
      </c>
      <c r="F59" t="s">
        <v>34</v>
      </c>
      <c r="G59" t="s">
        <v>31</v>
      </c>
      <c r="H59" t="s">
        <v>35</v>
      </c>
      <c r="I59" t="s">
        <v>24</v>
      </c>
      <c r="J59">
        <v>103</v>
      </c>
      <c r="K59" t="s">
        <v>54</v>
      </c>
      <c r="L59" t="s">
        <v>26</v>
      </c>
      <c r="M59">
        <v>103</v>
      </c>
      <c r="N59" t="s">
        <v>55</v>
      </c>
      <c r="O59" t="s">
        <v>164</v>
      </c>
      <c r="P59" t="s">
        <v>29</v>
      </c>
      <c r="Q59">
        <v>34118356779</v>
      </c>
      <c r="R59" s="2" t="str">
        <f t="shared" si="4"/>
        <v>nodejs|A2|B1b|B2b|C1c</v>
      </c>
      <c r="S59" t="str">
        <f t="shared" si="5"/>
        <v>M</v>
      </c>
      <c r="T59" t="str">
        <f t="shared" si="6"/>
        <v/>
      </c>
      <c r="U59" t="str">
        <f t="shared" si="1"/>
        <v>same</v>
      </c>
      <c r="V59" t="str">
        <f t="shared" si="2"/>
        <v/>
      </c>
      <c r="W59" t="str">
        <f t="shared" si="3"/>
        <v/>
      </c>
    </row>
    <row r="60" spans="1:23" x14ac:dyDescent="0.3">
      <c r="A60" t="s">
        <v>165</v>
      </c>
      <c r="B60" s="1">
        <v>46272.574694791663</v>
      </c>
      <c r="C60" t="s">
        <v>18</v>
      </c>
      <c r="D60" t="s">
        <v>145</v>
      </c>
      <c r="E60" t="s">
        <v>47</v>
      </c>
      <c r="F60" t="s">
        <v>42</v>
      </c>
      <c r="G60" t="s">
        <v>22</v>
      </c>
      <c r="H60" t="s">
        <v>35</v>
      </c>
      <c r="I60" t="s">
        <v>24</v>
      </c>
      <c r="J60">
        <v>103</v>
      </c>
      <c r="K60" t="s">
        <v>54</v>
      </c>
      <c r="L60" t="s">
        <v>26</v>
      </c>
      <c r="M60">
        <v>103</v>
      </c>
      <c r="N60" t="s">
        <v>55</v>
      </c>
      <c r="O60" t="s">
        <v>166</v>
      </c>
      <c r="P60" t="s">
        <v>29</v>
      </c>
      <c r="Q60">
        <v>34118404806</v>
      </c>
      <c r="R60" s="2" t="str">
        <f t="shared" si="4"/>
        <v>nodejs|A2|B1b|B2c|C1a</v>
      </c>
      <c r="S60" t="str">
        <f t="shared" si="5"/>
        <v>M</v>
      </c>
      <c r="T60" t="str">
        <f t="shared" si="6"/>
        <v>same</v>
      </c>
      <c r="U60" t="str">
        <f t="shared" si="1"/>
        <v>same</v>
      </c>
      <c r="V60" t="str">
        <f t="shared" si="2"/>
        <v/>
      </c>
      <c r="W60" t="str">
        <f t="shared" si="3"/>
        <v/>
      </c>
    </row>
    <row r="61" spans="1:23" x14ac:dyDescent="0.3">
      <c r="A61" t="s">
        <v>167</v>
      </c>
      <c r="B61" s="1">
        <v>46272.575556319447</v>
      </c>
      <c r="C61" t="s">
        <v>18</v>
      </c>
      <c r="D61" t="s">
        <v>145</v>
      </c>
      <c r="E61" t="s">
        <v>47</v>
      </c>
      <c r="F61" t="s">
        <v>42</v>
      </c>
      <c r="G61" t="s">
        <v>31</v>
      </c>
      <c r="H61" t="s">
        <v>35</v>
      </c>
      <c r="I61" t="s">
        <v>24</v>
      </c>
      <c r="J61">
        <v>103</v>
      </c>
      <c r="K61" t="s">
        <v>54</v>
      </c>
      <c r="L61" t="s">
        <v>26</v>
      </c>
      <c r="M61">
        <v>103</v>
      </c>
      <c r="N61" t="s">
        <v>55</v>
      </c>
      <c r="O61" t="s">
        <v>168</v>
      </c>
      <c r="P61" t="s">
        <v>29</v>
      </c>
      <c r="Q61">
        <v>34118508506</v>
      </c>
      <c r="R61" s="2" t="str">
        <f t="shared" si="4"/>
        <v>nodejs|A2|B1b|B2c|C1c</v>
      </c>
      <c r="S61" t="str">
        <f t="shared" si="5"/>
        <v>M</v>
      </c>
      <c r="T61" t="str">
        <f t="shared" si="6"/>
        <v/>
      </c>
      <c r="U61" t="str">
        <f t="shared" si="1"/>
        <v>same</v>
      </c>
      <c r="V61" t="str">
        <f t="shared" si="2"/>
        <v/>
      </c>
      <c r="W61" t="str">
        <f t="shared" si="3"/>
        <v/>
      </c>
    </row>
    <row r="62" spans="1:23" x14ac:dyDescent="0.3">
      <c r="A62" t="s">
        <v>169</v>
      </c>
      <c r="B62" s="1">
        <v>46272.575993229169</v>
      </c>
      <c r="C62" t="s">
        <v>18</v>
      </c>
      <c r="D62" t="s">
        <v>145</v>
      </c>
      <c r="E62" t="s">
        <v>64</v>
      </c>
      <c r="F62" t="s">
        <v>21</v>
      </c>
      <c r="G62" t="s">
        <v>22</v>
      </c>
      <c r="H62" t="s">
        <v>48</v>
      </c>
      <c r="I62" t="s">
        <v>49</v>
      </c>
      <c r="K62" t="s">
        <v>49</v>
      </c>
      <c r="L62" t="s">
        <v>49</v>
      </c>
      <c r="N62" t="s">
        <v>49</v>
      </c>
      <c r="O62" t="s">
        <v>170</v>
      </c>
      <c r="P62" t="s">
        <v>29</v>
      </c>
      <c r="Q62">
        <v>34118562775</v>
      </c>
      <c r="R62" s="2" t="str">
        <f t="shared" si="4"/>
        <v>nodejs|A2|B1c|B2a|C1a</v>
      </c>
      <c r="S62" t="str">
        <f t="shared" si="5"/>
        <v>E</v>
      </c>
      <c r="T62" t="str">
        <f t="shared" si="6"/>
        <v>same</v>
      </c>
      <c r="U62" t="str">
        <f t="shared" si="1"/>
        <v/>
      </c>
      <c r="V62" t="str">
        <f t="shared" si="2"/>
        <v>same</v>
      </c>
      <c r="W62" t="str">
        <f t="shared" si="3"/>
        <v/>
      </c>
    </row>
    <row r="63" spans="1:23" x14ac:dyDescent="0.3">
      <c r="A63" t="s">
        <v>171</v>
      </c>
      <c r="B63" s="1">
        <v>46272.576818576388</v>
      </c>
      <c r="C63" t="s">
        <v>18</v>
      </c>
      <c r="D63" t="s">
        <v>145</v>
      </c>
      <c r="E63" t="s">
        <v>64</v>
      </c>
      <c r="F63" t="s">
        <v>21</v>
      </c>
      <c r="G63" t="s">
        <v>31</v>
      </c>
      <c r="H63" t="s">
        <v>48</v>
      </c>
      <c r="I63" t="s">
        <v>49</v>
      </c>
      <c r="K63" t="s">
        <v>49</v>
      </c>
      <c r="L63" t="s">
        <v>49</v>
      </c>
      <c r="N63" t="s">
        <v>49</v>
      </c>
      <c r="O63" t="s">
        <v>172</v>
      </c>
      <c r="P63" t="s">
        <v>29</v>
      </c>
      <c r="Q63">
        <v>34118662913</v>
      </c>
      <c r="R63" s="2" t="str">
        <f t="shared" si="4"/>
        <v>nodejs|A2|B1c|B2a|C1c</v>
      </c>
      <c r="S63" t="str">
        <f t="shared" si="5"/>
        <v>E</v>
      </c>
      <c r="T63" t="str">
        <f t="shared" si="6"/>
        <v/>
      </c>
      <c r="U63" t="str">
        <f t="shared" si="1"/>
        <v/>
      </c>
      <c r="V63" t="str">
        <f t="shared" si="2"/>
        <v>same</v>
      </c>
      <c r="W63" t="str">
        <f t="shared" si="3"/>
        <v/>
      </c>
    </row>
    <row r="64" spans="1:23" x14ac:dyDescent="0.3">
      <c r="A64" t="s">
        <v>173</v>
      </c>
      <c r="B64" s="1">
        <v>46272.577255914352</v>
      </c>
      <c r="C64" t="s">
        <v>18</v>
      </c>
      <c r="D64" t="s">
        <v>145</v>
      </c>
      <c r="E64" t="s">
        <v>64</v>
      </c>
      <c r="F64" t="s">
        <v>34</v>
      </c>
      <c r="G64" t="s">
        <v>22</v>
      </c>
      <c r="H64" t="s">
        <v>35</v>
      </c>
      <c r="I64" t="s">
        <v>24</v>
      </c>
      <c r="J64">
        <v>103</v>
      </c>
      <c r="K64" t="s">
        <v>69</v>
      </c>
      <c r="L64" t="s">
        <v>26</v>
      </c>
      <c r="M64">
        <v>103</v>
      </c>
      <c r="N64" t="s">
        <v>70</v>
      </c>
      <c r="O64" t="s">
        <v>174</v>
      </c>
      <c r="P64" t="s">
        <v>29</v>
      </c>
      <c r="Q64">
        <v>34118718562</v>
      </c>
      <c r="R64" s="2" t="str">
        <f t="shared" si="4"/>
        <v>nodejs|A2|B1c|B2b|C1a</v>
      </c>
      <c r="S64" t="str">
        <f t="shared" si="5"/>
        <v>M</v>
      </c>
      <c r="T64" t="str">
        <f t="shared" si="6"/>
        <v>same</v>
      </c>
      <c r="U64" t="str">
        <f t="shared" si="1"/>
        <v/>
      </c>
      <c r="V64" t="str">
        <f t="shared" si="2"/>
        <v>same</v>
      </c>
      <c r="W64" t="str">
        <f t="shared" si="3"/>
        <v/>
      </c>
    </row>
    <row r="65" spans="1:23" x14ac:dyDescent="0.3">
      <c r="A65" t="s">
        <v>175</v>
      </c>
      <c r="B65" s="1">
        <v>46272.578046504626</v>
      </c>
      <c r="C65" t="s">
        <v>18</v>
      </c>
      <c r="D65" t="s">
        <v>145</v>
      </c>
      <c r="E65" t="s">
        <v>64</v>
      </c>
      <c r="F65" t="s">
        <v>34</v>
      </c>
      <c r="G65" t="s">
        <v>31</v>
      </c>
      <c r="H65" t="s">
        <v>35</v>
      </c>
      <c r="I65" t="s">
        <v>24</v>
      </c>
      <c r="J65">
        <v>103</v>
      </c>
      <c r="K65" t="s">
        <v>69</v>
      </c>
      <c r="L65" t="s">
        <v>26</v>
      </c>
      <c r="M65">
        <v>103</v>
      </c>
      <c r="N65" t="s">
        <v>70</v>
      </c>
      <c r="O65" t="s">
        <v>176</v>
      </c>
      <c r="P65" t="s">
        <v>29</v>
      </c>
      <c r="Q65">
        <v>34118818239</v>
      </c>
      <c r="R65" s="2" t="str">
        <f t="shared" si="4"/>
        <v>nodejs|A2|B1c|B2b|C1c</v>
      </c>
      <c r="S65" t="str">
        <f t="shared" si="5"/>
        <v>M</v>
      </c>
      <c r="T65" t="str">
        <f t="shared" si="6"/>
        <v/>
      </c>
      <c r="U65" t="str">
        <f t="shared" si="1"/>
        <v/>
      </c>
      <c r="V65" t="str">
        <f t="shared" si="2"/>
        <v>same</v>
      </c>
      <c r="W65" t="str">
        <f t="shared" si="3"/>
        <v/>
      </c>
    </row>
    <row r="66" spans="1:23" x14ac:dyDescent="0.3">
      <c r="A66" t="s">
        <v>177</v>
      </c>
      <c r="B66" s="1">
        <v>46272.578431574075</v>
      </c>
      <c r="C66" t="s">
        <v>18</v>
      </c>
      <c r="D66" t="s">
        <v>145</v>
      </c>
      <c r="E66" t="s">
        <v>64</v>
      </c>
      <c r="F66" t="s">
        <v>42</v>
      </c>
      <c r="G66" t="s">
        <v>22</v>
      </c>
      <c r="H66" t="s">
        <v>35</v>
      </c>
      <c r="I66" t="s">
        <v>24</v>
      </c>
      <c r="J66">
        <v>103</v>
      </c>
      <c r="K66" t="s">
        <v>69</v>
      </c>
      <c r="L66" t="s">
        <v>26</v>
      </c>
      <c r="M66">
        <v>103</v>
      </c>
      <c r="N66" t="s">
        <v>70</v>
      </c>
      <c r="O66" t="s">
        <v>178</v>
      </c>
      <c r="P66" t="s">
        <v>29</v>
      </c>
      <c r="Q66">
        <v>34118867960</v>
      </c>
      <c r="R66" s="2" t="str">
        <f t="shared" si="4"/>
        <v>nodejs|A2|B1c|B2c|C1a</v>
      </c>
      <c r="S66" t="str">
        <f t="shared" si="5"/>
        <v>M</v>
      </c>
      <c r="T66" t="str">
        <f t="shared" ref="T66:T129" si="7">IF(G66="C1a",IF(H66=VLOOKUP(SUBSTITUTE(A66,"_C1a","_C1c"),$A:$H,8,FALSE),"same","DIFF"),"")</f>
        <v>same</v>
      </c>
      <c r="U66" t="str">
        <f t="shared" ref="U66:U129" si="8">IF(AND(C66="nodejs",E66="B1b"),IF(H66=VLOOKUP(SUBSTITUTE(A66,"_B1b_","_B1d_"),$A:$H,8,FALSE),"same","DIFF"),"")</f>
        <v/>
      </c>
      <c r="V66" t="str">
        <f t="shared" ref="V66:V129" si="9">IF(AND(C66="nodejs",E66="B1c",H66&lt;&gt;"invalid_configuration"),IF(H66=VLOOKUP(SUBSTITUTE(A66,"_B1c_","_B1b_"),$A:$H,8,FALSE),"same","DIFF"),"")</f>
        <v>same</v>
      </c>
      <c r="W66" t="str">
        <f t="shared" ref="W66:W129" si="10">IF(D66="A1a",IF(H66=VLOOKUP(SUBSTITUTE(A66,"_A1a_","_A1b_"),$A:$H,8,FALSE),"same","DIFF"),"")</f>
        <v/>
      </c>
    </row>
    <row r="67" spans="1:23" x14ac:dyDescent="0.3">
      <c r="A67" t="s">
        <v>179</v>
      </c>
      <c r="B67" s="1">
        <v>46272.579256689816</v>
      </c>
      <c r="C67" t="s">
        <v>18</v>
      </c>
      <c r="D67" t="s">
        <v>145</v>
      </c>
      <c r="E67" t="s">
        <v>64</v>
      </c>
      <c r="F67" t="s">
        <v>42</v>
      </c>
      <c r="G67" t="s">
        <v>31</v>
      </c>
      <c r="H67" t="s">
        <v>35</v>
      </c>
      <c r="I67" t="s">
        <v>24</v>
      </c>
      <c r="J67">
        <v>103</v>
      </c>
      <c r="K67" t="s">
        <v>69</v>
      </c>
      <c r="L67" t="s">
        <v>26</v>
      </c>
      <c r="M67">
        <v>103</v>
      </c>
      <c r="N67" t="s">
        <v>70</v>
      </c>
      <c r="O67" t="s">
        <v>180</v>
      </c>
      <c r="P67" t="s">
        <v>29</v>
      </c>
      <c r="Q67">
        <v>34118960446</v>
      </c>
      <c r="R67" s="2" t="str">
        <f t="shared" ref="R67:R130" si="11">C67&amp;"|"&amp;D67&amp;"|"&amp;E67&amp;"|"&amp;F67&amp;"|"&amp;G67</f>
        <v>nodejs|A2|B1c|B2c|C1c</v>
      </c>
      <c r="S67" t="str">
        <f t="shared" ref="S67:S130" si="12">IF(H67="malicious_resolved","M",IF(H67="private_resolved","P",IF(H67="resolution_error","E","-")))</f>
        <v>M</v>
      </c>
      <c r="T67" t="str">
        <f t="shared" si="7"/>
        <v/>
      </c>
      <c r="U67" t="str">
        <f t="shared" si="8"/>
        <v/>
      </c>
      <c r="V67" t="str">
        <f t="shared" si="9"/>
        <v>same</v>
      </c>
      <c r="W67" t="str">
        <f t="shared" si="10"/>
        <v/>
      </c>
    </row>
    <row r="68" spans="1:23" x14ac:dyDescent="0.3">
      <c r="A68" t="s">
        <v>181</v>
      </c>
      <c r="B68" s="1">
        <v>46272.579644166668</v>
      </c>
      <c r="C68" t="s">
        <v>18</v>
      </c>
      <c r="D68" t="s">
        <v>145</v>
      </c>
      <c r="E68" t="s">
        <v>79</v>
      </c>
      <c r="F68" t="s">
        <v>21</v>
      </c>
      <c r="G68" t="s">
        <v>22</v>
      </c>
      <c r="H68" t="s">
        <v>48</v>
      </c>
      <c r="I68" t="s">
        <v>49</v>
      </c>
      <c r="K68" t="s">
        <v>49</v>
      </c>
      <c r="L68" t="s">
        <v>49</v>
      </c>
      <c r="N68" t="s">
        <v>49</v>
      </c>
      <c r="O68" t="s">
        <v>182</v>
      </c>
      <c r="P68" t="s">
        <v>29</v>
      </c>
      <c r="Q68">
        <v>34119014127</v>
      </c>
      <c r="R68" s="2" t="str">
        <f t="shared" si="11"/>
        <v>nodejs|A2|B1d|B2a|C1a</v>
      </c>
      <c r="S68" t="str">
        <f t="shared" si="12"/>
        <v>E</v>
      </c>
      <c r="T68" t="str">
        <f t="shared" si="7"/>
        <v>same</v>
      </c>
      <c r="U68" t="str">
        <f t="shared" si="8"/>
        <v/>
      </c>
      <c r="V68" t="str">
        <f t="shared" si="9"/>
        <v/>
      </c>
      <c r="W68" t="str">
        <f t="shared" si="10"/>
        <v/>
      </c>
    </row>
    <row r="69" spans="1:23" x14ac:dyDescent="0.3">
      <c r="A69" t="s">
        <v>183</v>
      </c>
      <c r="B69" s="1">
        <v>46272.580425659726</v>
      </c>
      <c r="C69" t="s">
        <v>18</v>
      </c>
      <c r="D69" t="s">
        <v>145</v>
      </c>
      <c r="E69" t="s">
        <v>79</v>
      </c>
      <c r="F69" t="s">
        <v>21</v>
      </c>
      <c r="G69" t="s">
        <v>31</v>
      </c>
      <c r="H69" t="s">
        <v>48</v>
      </c>
      <c r="I69" t="s">
        <v>49</v>
      </c>
      <c r="K69" t="s">
        <v>49</v>
      </c>
      <c r="L69" t="s">
        <v>49</v>
      </c>
      <c r="N69" t="s">
        <v>49</v>
      </c>
      <c r="O69" t="s">
        <v>184</v>
      </c>
      <c r="P69" t="s">
        <v>29</v>
      </c>
      <c r="Q69">
        <v>34119113739</v>
      </c>
      <c r="R69" s="2" t="str">
        <f t="shared" si="11"/>
        <v>nodejs|A2|B1d|B2a|C1c</v>
      </c>
      <c r="S69" t="str">
        <f t="shared" si="12"/>
        <v>E</v>
      </c>
      <c r="T69" t="str">
        <f t="shared" si="7"/>
        <v/>
      </c>
      <c r="U69" t="str">
        <f t="shared" si="8"/>
        <v/>
      </c>
      <c r="V69" t="str">
        <f t="shared" si="9"/>
        <v/>
      </c>
      <c r="W69" t="str">
        <f t="shared" si="10"/>
        <v/>
      </c>
    </row>
    <row r="70" spans="1:23" x14ac:dyDescent="0.3">
      <c r="A70" t="s">
        <v>185</v>
      </c>
      <c r="B70" s="1">
        <v>46272.580818923612</v>
      </c>
      <c r="C70" t="s">
        <v>18</v>
      </c>
      <c r="D70" t="s">
        <v>145</v>
      </c>
      <c r="E70" t="s">
        <v>79</v>
      </c>
      <c r="F70" t="s">
        <v>34</v>
      </c>
      <c r="G70" t="s">
        <v>22</v>
      </c>
      <c r="H70" t="s">
        <v>35</v>
      </c>
      <c r="I70" t="s">
        <v>24</v>
      </c>
      <c r="J70">
        <v>103</v>
      </c>
      <c r="K70" t="s">
        <v>54</v>
      </c>
      <c r="L70" t="s">
        <v>26</v>
      </c>
      <c r="M70">
        <v>103</v>
      </c>
      <c r="N70" t="s">
        <v>55</v>
      </c>
      <c r="O70" t="s">
        <v>186</v>
      </c>
      <c r="P70" t="s">
        <v>29</v>
      </c>
      <c r="Q70">
        <v>34119161569</v>
      </c>
      <c r="R70" s="2" t="str">
        <f t="shared" si="11"/>
        <v>nodejs|A2|B1d|B2b|C1a</v>
      </c>
      <c r="S70" t="str">
        <f t="shared" si="12"/>
        <v>M</v>
      </c>
      <c r="T70" t="str">
        <f t="shared" si="7"/>
        <v>same</v>
      </c>
      <c r="U70" t="str">
        <f t="shared" si="8"/>
        <v/>
      </c>
      <c r="V70" t="str">
        <f t="shared" si="9"/>
        <v/>
      </c>
      <c r="W70" t="str">
        <f t="shared" si="10"/>
        <v/>
      </c>
    </row>
    <row r="71" spans="1:23" x14ac:dyDescent="0.3">
      <c r="A71" t="s">
        <v>187</v>
      </c>
      <c r="B71" s="1">
        <v>46272.581653402776</v>
      </c>
      <c r="C71" t="s">
        <v>18</v>
      </c>
      <c r="D71" t="s">
        <v>145</v>
      </c>
      <c r="E71" t="s">
        <v>79</v>
      </c>
      <c r="F71" t="s">
        <v>34</v>
      </c>
      <c r="G71" t="s">
        <v>31</v>
      </c>
      <c r="H71" t="s">
        <v>35</v>
      </c>
      <c r="I71" t="s">
        <v>24</v>
      </c>
      <c r="J71">
        <v>103</v>
      </c>
      <c r="K71" t="s">
        <v>54</v>
      </c>
      <c r="L71" t="s">
        <v>26</v>
      </c>
      <c r="M71">
        <v>103</v>
      </c>
      <c r="N71" t="s">
        <v>55</v>
      </c>
      <c r="O71" t="s">
        <v>188</v>
      </c>
      <c r="P71" t="s">
        <v>29</v>
      </c>
      <c r="Q71">
        <v>34119259971</v>
      </c>
      <c r="R71" s="2" t="str">
        <f t="shared" si="11"/>
        <v>nodejs|A2|B1d|B2b|C1c</v>
      </c>
      <c r="S71" t="str">
        <f t="shared" si="12"/>
        <v>M</v>
      </c>
      <c r="T71" t="str">
        <f t="shared" si="7"/>
        <v/>
      </c>
      <c r="U71" t="str">
        <f t="shared" si="8"/>
        <v/>
      </c>
      <c r="V71" t="str">
        <f t="shared" si="9"/>
        <v/>
      </c>
      <c r="W71" t="str">
        <f t="shared" si="10"/>
        <v/>
      </c>
    </row>
    <row r="72" spans="1:23" x14ac:dyDescent="0.3">
      <c r="A72" t="s">
        <v>189</v>
      </c>
      <c r="B72" s="1">
        <v>46272.582093784724</v>
      </c>
      <c r="C72" t="s">
        <v>18</v>
      </c>
      <c r="D72" t="s">
        <v>145</v>
      </c>
      <c r="E72" t="s">
        <v>79</v>
      </c>
      <c r="F72" t="s">
        <v>42</v>
      </c>
      <c r="G72" t="s">
        <v>22</v>
      </c>
      <c r="H72" t="s">
        <v>35</v>
      </c>
      <c r="I72" t="s">
        <v>24</v>
      </c>
      <c r="J72">
        <v>103</v>
      </c>
      <c r="K72" t="s">
        <v>54</v>
      </c>
      <c r="L72" t="s">
        <v>26</v>
      </c>
      <c r="M72">
        <v>103</v>
      </c>
      <c r="N72" t="s">
        <v>55</v>
      </c>
      <c r="O72" t="s">
        <v>190</v>
      </c>
      <c r="P72" t="s">
        <v>29</v>
      </c>
      <c r="Q72">
        <v>34119312950</v>
      </c>
      <c r="R72" s="2" t="str">
        <f t="shared" si="11"/>
        <v>nodejs|A2|B1d|B2c|C1a</v>
      </c>
      <c r="S72" t="str">
        <f t="shared" si="12"/>
        <v>M</v>
      </c>
      <c r="T72" t="str">
        <f t="shared" si="7"/>
        <v>same</v>
      </c>
      <c r="U72" t="str">
        <f t="shared" si="8"/>
        <v/>
      </c>
      <c r="V72" t="str">
        <f t="shared" si="9"/>
        <v/>
      </c>
      <c r="W72" t="str">
        <f t="shared" si="10"/>
        <v/>
      </c>
    </row>
    <row r="73" spans="1:23" x14ac:dyDescent="0.3">
      <c r="A73" t="s">
        <v>191</v>
      </c>
      <c r="B73" s="1">
        <v>46272.582922280089</v>
      </c>
      <c r="C73" t="s">
        <v>18</v>
      </c>
      <c r="D73" t="s">
        <v>145</v>
      </c>
      <c r="E73" t="s">
        <v>79</v>
      </c>
      <c r="F73" t="s">
        <v>42</v>
      </c>
      <c r="G73" t="s">
        <v>31</v>
      </c>
      <c r="H73" t="s">
        <v>35</v>
      </c>
      <c r="I73" t="s">
        <v>24</v>
      </c>
      <c r="J73">
        <v>103</v>
      </c>
      <c r="K73" t="s">
        <v>54</v>
      </c>
      <c r="L73" t="s">
        <v>26</v>
      </c>
      <c r="M73">
        <v>103</v>
      </c>
      <c r="N73" t="s">
        <v>55</v>
      </c>
      <c r="O73" t="s">
        <v>192</v>
      </c>
      <c r="P73" t="s">
        <v>29</v>
      </c>
      <c r="Q73">
        <v>34119411234</v>
      </c>
      <c r="R73" s="2" t="str">
        <f t="shared" si="11"/>
        <v>nodejs|A2|B1d|B2c|C1c</v>
      </c>
      <c r="S73" t="str">
        <f t="shared" si="12"/>
        <v>M</v>
      </c>
      <c r="T73" t="str">
        <f t="shared" si="7"/>
        <v/>
      </c>
      <c r="U73" t="str">
        <f t="shared" si="8"/>
        <v/>
      </c>
      <c r="V73" t="str">
        <f t="shared" si="9"/>
        <v/>
      </c>
      <c r="W73" t="str">
        <f t="shared" si="10"/>
        <v/>
      </c>
    </row>
    <row r="74" spans="1:23" x14ac:dyDescent="0.3">
      <c r="A74" t="s">
        <v>193</v>
      </c>
      <c r="B74" s="1">
        <v>46272.583314930554</v>
      </c>
      <c r="C74" t="s">
        <v>18</v>
      </c>
      <c r="D74" t="s">
        <v>194</v>
      </c>
      <c r="E74" t="s">
        <v>20</v>
      </c>
      <c r="F74" t="s">
        <v>21</v>
      </c>
      <c r="G74" t="s">
        <v>22</v>
      </c>
      <c r="H74" t="s">
        <v>48</v>
      </c>
      <c r="I74" t="s">
        <v>49</v>
      </c>
      <c r="K74" t="s">
        <v>49</v>
      </c>
      <c r="L74" t="s">
        <v>49</v>
      </c>
      <c r="N74" t="s">
        <v>49</v>
      </c>
      <c r="O74" t="s">
        <v>195</v>
      </c>
      <c r="P74" t="s">
        <v>29</v>
      </c>
      <c r="Q74">
        <v>34119463864</v>
      </c>
      <c r="R74" s="2" t="str">
        <f t="shared" si="11"/>
        <v>nodejs|A3|B1a|B2a|C1a</v>
      </c>
      <c r="S74" t="str">
        <f t="shared" si="12"/>
        <v>E</v>
      </c>
      <c r="T74" t="str">
        <f t="shared" si="7"/>
        <v>same</v>
      </c>
      <c r="U74" t="str">
        <f t="shared" si="8"/>
        <v/>
      </c>
      <c r="V74" t="str">
        <f t="shared" si="9"/>
        <v/>
      </c>
      <c r="W74" t="str">
        <f t="shared" si="10"/>
        <v/>
      </c>
    </row>
    <row r="75" spans="1:23" x14ac:dyDescent="0.3">
      <c r="A75" t="s">
        <v>196</v>
      </c>
      <c r="B75" s="1">
        <v>46272.584143935186</v>
      </c>
      <c r="C75" t="s">
        <v>18</v>
      </c>
      <c r="D75" t="s">
        <v>194</v>
      </c>
      <c r="E75" t="s">
        <v>20</v>
      </c>
      <c r="F75" t="s">
        <v>21</v>
      </c>
      <c r="G75" t="s">
        <v>31</v>
      </c>
      <c r="H75" t="s">
        <v>48</v>
      </c>
      <c r="I75" t="s">
        <v>49</v>
      </c>
      <c r="K75" t="s">
        <v>49</v>
      </c>
      <c r="L75" t="s">
        <v>49</v>
      </c>
      <c r="N75" t="s">
        <v>49</v>
      </c>
      <c r="O75" t="s">
        <v>197</v>
      </c>
      <c r="P75" t="s">
        <v>29</v>
      </c>
      <c r="Q75">
        <v>34119568144</v>
      </c>
      <c r="R75" s="2" t="str">
        <f t="shared" si="11"/>
        <v>nodejs|A3|B1a|B2a|C1c</v>
      </c>
      <c r="S75" t="str">
        <f t="shared" si="12"/>
        <v>E</v>
      </c>
      <c r="T75" t="str">
        <f t="shared" si="7"/>
        <v/>
      </c>
      <c r="U75" t="str">
        <f t="shared" si="8"/>
        <v/>
      </c>
      <c r="V75" t="str">
        <f t="shared" si="9"/>
        <v/>
      </c>
      <c r="W75" t="str">
        <f t="shared" si="10"/>
        <v/>
      </c>
    </row>
    <row r="76" spans="1:23" x14ac:dyDescent="0.3">
      <c r="A76" t="s">
        <v>198</v>
      </c>
      <c r="B76" s="1">
        <v>46272.584553865738</v>
      </c>
      <c r="C76" t="s">
        <v>18</v>
      </c>
      <c r="D76" t="s">
        <v>194</v>
      </c>
      <c r="E76" t="s">
        <v>20</v>
      </c>
      <c r="F76" t="s">
        <v>34</v>
      </c>
      <c r="G76" t="s">
        <v>22</v>
      </c>
      <c r="H76" t="s">
        <v>48</v>
      </c>
      <c r="I76" t="s">
        <v>49</v>
      </c>
      <c r="K76" t="s">
        <v>49</v>
      </c>
      <c r="L76" t="s">
        <v>49</v>
      </c>
      <c r="N76" t="s">
        <v>49</v>
      </c>
      <c r="O76" t="s">
        <v>199</v>
      </c>
      <c r="P76" t="s">
        <v>29</v>
      </c>
      <c r="Q76">
        <v>34119622186</v>
      </c>
      <c r="R76" s="2" t="str">
        <f t="shared" si="11"/>
        <v>nodejs|A3|B1a|B2b|C1a</v>
      </c>
      <c r="S76" t="str">
        <f t="shared" si="12"/>
        <v>E</v>
      </c>
      <c r="T76" t="str">
        <f t="shared" si="7"/>
        <v>same</v>
      </c>
      <c r="U76" t="str">
        <f t="shared" si="8"/>
        <v/>
      </c>
      <c r="V76" t="str">
        <f t="shared" si="9"/>
        <v/>
      </c>
      <c r="W76" t="str">
        <f t="shared" si="10"/>
        <v/>
      </c>
    </row>
    <row r="77" spans="1:23" x14ac:dyDescent="0.3">
      <c r="A77" t="s">
        <v>200</v>
      </c>
      <c r="B77" s="1">
        <v>46272.585343645835</v>
      </c>
      <c r="C77" t="s">
        <v>18</v>
      </c>
      <c r="D77" t="s">
        <v>194</v>
      </c>
      <c r="E77" t="s">
        <v>20</v>
      </c>
      <c r="F77" t="s">
        <v>34</v>
      </c>
      <c r="G77" t="s">
        <v>31</v>
      </c>
      <c r="H77" t="s">
        <v>48</v>
      </c>
      <c r="I77" t="s">
        <v>49</v>
      </c>
      <c r="K77" t="s">
        <v>49</v>
      </c>
      <c r="L77" t="s">
        <v>49</v>
      </c>
      <c r="N77" t="s">
        <v>49</v>
      </c>
      <c r="O77" t="s">
        <v>201</v>
      </c>
      <c r="P77" t="s">
        <v>29</v>
      </c>
      <c r="Q77">
        <v>34119725097</v>
      </c>
      <c r="R77" s="2" t="str">
        <f t="shared" si="11"/>
        <v>nodejs|A3|B1a|B2b|C1c</v>
      </c>
      <c r="S77" t="str">
        <f t="shared" si="12"/>
        <v>E</v>
      </c>
      <c r="T77" t="str">
        <f t="shared" si="7"/>
        <v/>
      </c>
      <c r="U77" t="str">
        <f t="shared" si="8"/>
        <v/>
      </c>
      <c r="V77" t="str">
        <f t="shared" si="9"/>
        <v/>
      </c>
      <c r="W77" t="str">
        <f t="shared" si="10"/>
        <v/>
      </c>
    </row>
    <row r="78" spans="1:23" x14ac:dyDescent="0.3">
      <c r="A78" t="s">
        <v>202</v>
      </c>
      <c r="B78" s="1">
        <v>46272.585737037036</v>
      </c>
      <c r="C78" t="s">
        <v>18</v>
      </c>
      <c r="D78" t="s">
        <v>194</v>
      </c>
      <c r="E78" t="s">
        <v>20</v>
      </c>
      <c r="F78" t="s">
        <v>42</v>
      </c>
      <c r="G78" t="s">
        <v>22</v>
      </c>
      <c r="H78" t="s">
        <v>48</v>
      </c>
      <c r="I78" t="s">
        <v>49</v>
      </c>
      <c r="K78" t="s">
        <v>49</v>
      </c>
      <c r="L78" t="s">
        <v>49</v>
      </c>
      <c r="N78" t="s">
        <v>49</v>
      </c>
      <c r="O78" t="s">
        <v>203</v>
      </c>
      <c r="P78" t="s">
        <v>29</v>
      </c>
      <c r="Q78">
        <v>34119775392</v>
      </c>
      <c r="R78" s="2" t="str">
        <f t="shared" si="11"/>
        <v>nodejs|A3|B1a|B2c|C1a</v>
      </c>
      <c r="S78" t="str">
        <f t="shared" si="12"/>
        <v>E</v>
      </c>
      <c r="T78" t="str">
        <f t="shared" si="7"/>
        <v>same</v>
      </c>
      <c r="U78" t="str">
        <f t="shared" si="8"/>
        <v/>
      </c>
      <c r="V78" t="str">
        <f t="shared" si="9"/>
        <v/>
      </c>
      <c r="W78" t="str">
        <f t="shared" si="10"/>
        <v/>
      </c>
    </row>
    <row r="79" spans="1:23" x14ac:dyDescent="0.3">
      <c r="A79" t="s">
        <v>204</v>
      </c>
      <c r="B79" s="1">
        <v>46272.586559467592</v>
      </c>
      <c r="C79" t="s">
        <v>18</v>
      </c>
      <c r="D79" t="s">
        <v>194</v>
      </c>
      <c r="E79" t="s">
        <v>20</v>
      </c>
      <c r="F79" t="s">
        <v>42</v>
      </c>
      <c r="G79" t="s">
        <v>31</v>
      </c>
      <c r="H79" t="s">
        <v>48</v>
      </c>
      <c r="I79" t="s">
        <v>49</v>
      </c>
      <c r="K79" t="s">
        <v>49</v>
      </c>
      <c r="L79" t="s">
        <v>49</v>
      </c>
      <c r="N79" t="s">
        <v>49</v>
      </c>
      <c r="O79" t="s">
        <v>205</v>
      </c>
      <c r="P79" t="s">
        <v>29</v>
      </c>
      <c r="Q79">
        <v>34119873134</v>
      </c>
      <c r="R79" s="2" t="str">
        <f t="shared" si="11"/>
        <v>nodejs|A3|B1a|B2c|C1c</v>
      </c>
      <c r="S79" t="str">
        <f t="shared" si="12"/>
        <v>E</v>
      </c>
      <c r="T79" t="str">
        <f t="shared" si="7"/>
        <v/>
      </c>
      <c r="U79" t="str">
        <f t="shared" si="8"/>
        <v/>
      </c>
      <c r="V79" t="str">
        <f t="shared" si="9"/>
        <v/>
      </c>
      <c r="W79" t="str">
        <f t="shared" si="10"/>
        <v/>
      </c>
    </row>
    <row r="80" spans="1:23" x14ac:dyDescent="0.3">
      <c r="A80" t="s">
        <v>206</v>
      </c>
      <c r="B80" s="1">
        <v>46272.586970034725</v>
      </c>
      <c r="C80" t="s">
        <v>18</v>
      </c>
      <c r="D80" t="s">
        <v>194</v>
      </c>
      <c r="E80" t="s">
        <v>47</v>
      </c>
      <c r="F80" t="s">
        <v>21</v>
      </c>
      <c r="G80" t="s">
        <v>22</v>
      </c>
      <c r="H80" t="s">
        <v>48</v>
      </c>
      <c r="I80" t="s">
        <v>49</v>
      </c>
      <c r="K80" t="s">
        <v>49</v>
      </c>
      <c r="L80" t="s">
        <v>49</v>
      </c>
      <c r="N80" t="s">
        <v>49</v>
      </c>
      <c r="O80" t="s">
        <v>207</v>
      </c>
      <c r="P80" t="s">
        <v>29</v>
      </c>
      <c r="Q80">
        <v>34119927201</v>
      </c>
      <c r="R80" s="2" t="str">
        <f t="shared" si="11"/>
        <v>nodejs|A3|B1b|B2a|C1a</v>
      </c>
      <c r="S80" t="str">
        <f t="shared" si="12"/>
        <v>E</v>
      </c>
      <c r="T80" t="str">
        <f t="shared" si="7"/>
        <v>same</v>
      </c>
      <c r="U80" t="str">
        <f t="shared" si="8"/>
        <v>same</v>
      </c>
      <c r="V80" t="str">
        <f t="shared" si="9"/>
        <v/>
      </c>
      <c r="W80" t="str">
        <f t="shared" si="10"/>
        <v/>
      </c>
    </row>
    <row r="81" spans="1:23" x14ac:dyDescent="0.3">
      <c r="A81" t="s">
        <v>208</v>
      </c>
      <c r="B81" s="1">
        <v>46272.587767094905</v>
      </c>
      <c r="C81" t="s">
        <v>18</v>
      </c>
      <c r="D81" t="s">
        <v>194</v>
      </c>
      <c r="E81" t="s">
        <v>47</v>
      </c>
      <c r="F81" t="s">
        <v>21</v>
      </c>
      <c r="G81" t="s">
        <v>31</v>
      </c>
      <c r="H81" t="s">
        <v>48</v>
      </c>
      <c r="I81" t="s">
        <v>49</v>
      </c>
      <c r="K81" t="s">
        <v>49</v>
      </c>
      <c r="L81" t="s">
        <v>49</v>
      </c>
      <c r="N81" t="s">
        <v>49</v>
      </c>
      <c r="O81" t="s">
        <v>209</v>
      </c>
      <c r="P81" t="s">
        <v>29</v>
      </c>
      <c r="Q81">
        <v>34120032574</v>
      </c>
      <c r="R81" s="2" t="str">
        <f t="shared" si="11"/>
        <v>nodejs|A3|B1b|B2a|C1c</v>
      </c>
      <c r="S81" t="str">
        <f t="shared" si="12"/>
        <v>E</v>
      </c>
      <c r="T81" t="str">
        <f t="shared" si="7"/>
        <v/>
      </c>
      <c r="U81" t="str">
        <f t="shared" si="8"/>
        <v>same</v>
      </c>
      <c r="V81" t="str">
        <f t="shared" si="9"/>
        <v/>
      </c>
      <c r="W81" t="str">
        <f t="shared" si="10"/>
        <v/>
      </c>
    </row>
    <row r="82" spans="1:23" x14ac:dyDescent="0.3">
      <c r="A82" t="s">
        <v>210</v>
      </c>
      <c r="B82" s="1">
        <v>46272.588160578707</v>
      </c>
      <c r="C82" t="s">
        <v>18</v>
      </c>
      <c r="D82" t="s">
        <v>194</v>
      </c>
      <c r="E82" t="s">
        <v>47</v>
      </c>
      <c r="F82" t="s">
        <v>34</v>
      </c>
      <c r="G82" t="s">
        <v>22</v>
      </c>
      <c r="H82" t="s">
        <v>35</v>
      </c>
      <c r="I82" t="s">
        <v>24</v>
      </c>
      <c r="J82">
        <v>103</v>
      </c>
      <c r="K82" t="s">
        <v>54</v>
      </c>
      <c r="L82" t="s">
        <v>26</v>
      </c>
      <c r="M82">
        <v>103</v>
      </c>
      <c r="N82" t="s">
        <v>55</v>
      </c>
      <c r="O82" t="s">
        <v>211</v>
      </c>
      <c r="P82" t="s">
        <v>29</v>
      </c>
      <c r="Q82">
        <v>34120080544</v>
      </c>
      <c r="R82" s="2" t="str">
        <f t="shared" si="11"/>
        <v>nodejs|A3|B1b|B2b|C1a</v>
      </c>
      <c r="S82" t="str">
        <f t="shared" si="12"/>
        <v>M</v>
      </c>
      <c r="T82" t="str">
        <f t="shared" si="7"/>
        <v>same</v>
      </c>
      <c r="U82" t="str">
        <f t="shared" si="8"/>
        <v>same</v>
      </c>
      <c r="V82" t="str">
        <f t="shared" si="9"/>
        <v/>
      </c>
      <c r="W82" t="str">
        <f t="shared" si="10"/>
        <v/>
      </c>
    </row>
    <row r="83" spans="1:23" x14ac:dyDescent="0.3">
      <c r="A83" t="s">
        <v>212</v>
      </c>
      <c r="B83" s="1">
        <v>46272.589001597225</v>
      </c>
      <c r="C83" t="s">
        <v>18</v>
      </c>
      <c r="D83" t="s">
        <v>194</v>
      </c>
      <c r="E83" t="s">
        <v>47</v>
      </c>
      <c r="F83" t="s">
        <v>34</v>
      </c>
      <c r="G83" t="s">
        <v>31</v>
      </c>
      <c r="H83" t="s">
        <v>35</v>
      </c>
      <c r="I83" t="s">
        <v>24</v>
      </c>
      <c r="J83">
        <v>103</v>
      </c>
      <c r="K83" t="s">
        <v>54</v>
      </c>
      <c r="L83" t="s">
        <v>26</v>
      </c>
      <c r="M83">
        <v>103</v>
      </c>
      <c r="N83" t="s">
        <v>55</v>
      </c>
      <c r="O83" t="s">
        <v>213</v>
      </c>
      <c r="P83" t="s">
        <v>29</v>
      </c>
      <c r="Q83">
        <v>34120180209</v>
      </c>
      <c r="R83" s="2" t="str">
        <f t="shared" si="11"/>
        <v>nodejs|A3|B1b|B2b|C1c</v>
      </c>
      <c r="S83" t="str">
        <f t="shared" si="12"/>
        <v>M</v>
      </c>
      <c r="T83" t="str">
        <f t="shared" si="7"/>
        <v/>
      </c>
      <c r="U83" t="str">
        <f t="shared" si="8"/>
        <v>same</v>
      </c>
      <c r="V83" t="str">
        <f t="shared" si="9"/>
        <v/>
      </c>
      <c r="W83" t="str">
        <f t="shared" si="10"/>
        <v/>
      </c>
    </row>
    <row r="84" spans="1:23" x14ac:dyDescent="0.3">
      <c r="A84" t="s">
        <v>214</v>
      </c>
      <c r="B84" s="1">
        <v>46272.589454953704</v>
      </c>
      <c r="C84" t="s">
        <v>18</v>
      </c>
      <c r="D84" t="s">
        <v>194</v>
      </c>
      <c r="E84" t="s">
        <v>47</v>
      </c>
      <c r="F84" t="s">
        <v>42</v>
      </c>
      <c r="G84" t="s">
        <v>22</v>
      </c>
      <c r="H84" t="s">
        <v>35</v>
      </c>
      <c r="I84" t="s">
        <v>24</v>
      </c>
      <c r="J84">
        <v>103</v>
      </c>
      <c r="K84" t="s">
        <v>54</v>
      </c>
      <c r="L84" t="s">
        <v>26</v>
      </c>
      <c r="M84">
        <v>103</v>
      </c>
      <c r="N84" t="s">
        <v>55</v>
      </c>
      <c r="O84" t="s">
        <v>215</v>
      </c>
      <c r="P84" t="s">
        <v>29</v>
      </c>
      <c r="Q84">
        <v>34120239746</v>
      </c>
      <c r="R84" s="2" t="str">
        <f t="shared" si="11"/>
        <v>nodejs|A3|B1b|B2c|C1a</v>
      </c>
      <c r="S84" t="str">
        <f t="shared" si="12"/>
        <v>M</v>
      </c>
      <c r="T84" t="str">
        <f t="shared" si="7"/>
        <v>same</v>
      </c>
      <c r="U84" t="str">
        <f t="shared" si="8"/>
        <v>same</v>
      </c>
      <c r="V84" t="str">
        <f t="shared" si="9"/>
        <v/>
      </c>
      <c r="W84" t="str">
        <f t="shared" si="10"/>
        <v/>
      </c>
    </row>
    <row r="85" spans="1:23" x14ac:dyDescent="0.3">
      <c r="A85" t="s">
        <v>216</v>
      </c>
      <c r="B85" s="1">
        <v>46272.590278344906</v>
      </c>
      <c r="C85" t="s">
        <v>18</v>
      </c>
      <c r="D85" t="s">
        <v>194</v>
      </c>
      <c r="E85" t="s">
        <v>47</v>
      </c>
      <c r="F85" t="s">
        <v>42</v>
      </c>
      <c r="G85" t="s">
        <v>31</v>
      </c>
      <c r="H85" t="s">
        <v>35</v>
      </c>
      <c r="I85" t="s">
        <v>24</v>
      </c>
      <c r="J85">
        <v>103</v>
      </c>
      <c r="K85" t="s">
        <v>54</v>
      </c>
      <c r="L85" t="s">
        <v>26</v>
      </c>
      <c r="M85">
        <v>103</v>
      </c>
      <c r="N85" t="s">
        <v>55</v>
      </c>
      <c r="O85" t="s">
        <v>217</v>
      </c>
      <c r="P85" t="s">
        <v>29</v>
      </c>
      <c r="Q85">
        <v>34120345302</v>
      </c>
      <c r="R85" s="2" t="str">
        <f t="shared" si="11"/>
        <v>nodejs|A3|B1b|B2c|C1c</v>
      </c>
      <c r="S85" t="str">
        <f t="shared" si="12"/>
        <v>M</v>
      </c>
      <c r="T85" t="str">
        <f t="shared" si="7"/>
        <v/>
      </c>
      <c r="U85" t="str">
        <f t="shared" si="8"/>
        <v>same</v>
      </c>
      <c r="V85" t="str">
        <f t="shared" si="9"/>
        <v/>
      </c>
      <c r="W85" t="str">
        <f t="shared" si="10"/>
        <v/>
      </c>
    </row>
    <row r="86" spans="1:23" x14ac:dyDescent="0.3">
      <c r="A86" t="s">
        <v>218</v>
      </c>
      <c r="B86" s="1">
        <v>46272.590719305554</v>
      </c>
      <c r="C86" t="s">
        <v>18</v>
      </c>
      <c r="D86" t="s">
        <v>194</v>
      </c>
      <c r="E86" t="s">
        <v>79</v>
      </c>
      <c r="F86" t="s">
        <v>21</v>
      </c>
      <c r="G86" t="s">
        <v>22</v>
      </c>
      <c r="H86" t="s">
        <v>48</v>
      </c>
      <c r="I86" t="s">
        <v>49</v>
      </c>
      <c r="K86" t="s">
        <v>49</v>
      </c>
      <c r="L86" t="s">
        <v>49</v>
      </c>
      <c r="N86" t="s">
        <v>49</v>
      </c>
      <c r="O86" t="s">
        <v>219</v>
      </c>
      <c r="P86" t="s">
        <v>29</v>
      </c>
      <c r="Q86">
        <v>34120402886</v>
      </c>
      <c r="R86" s="2" t="str">
        <f t="shared" si="11"/>
        <v>nodejs|A3|B1d|B2a|C1a</v>
      </c>
      <c r="S86" t="str">
        <f t="shared" si="12"/>
        <v>E</v>
      </c>
      <c r="T86" t="str">
        <f t="shared" si="7"/>
        <v>same</v>
      </c>
      <c r="U86" t="str">
        <f t="shared" si="8"/>
        <v/>
      </c>
      <c r="V86" t="str">
        <f t="shared" si="9"/>
        <v/>
      </c>
      <c r="W86" t="str">
        <f t="shared" si="10"/>
        <v/>
      </c>
    </row>
    <row r="87" spans="1:23" x14ac:dyDescent="0.3">
      <c r="A87" t="s">
        <v>220</v>
      </c>
      <c r="B87" s="1">
        <v>46272.591682604165</v>
      </c>
      <c r="C87" t="s">
        <v>18</v>
      </c>
      <c r="D87" t="s">
        <v>194</v>
      </c>
      <c r="E87" t="s">
        <v>79</v>
      </c>
      <c r="F87" t="s">
        <v>21</v>
      </c>
      <c r="G87" t="s">
        <v>31</v>
      </c>
      <c r="H87" t="s">
        <v>48</v>
      </c>
      <c r="I87" t="s">
        <v>49</v>
      </c>
      <c r="K87" t="s">
        <v>49</v>
      </c>
      <c r="L87" t="s">
        <v>49</v>
      </c>
      <c r="N87" t="s">
        <v>49</v>
      </c>
      <c r="O87" t="s">
        <v>221</v>
      </c>
      <c r="P87" t="s">
        <v>29</v>
      </c>
      <c r="Q87">
        <v>34120518073</v>
      </c>
      <c r="R87" s="2" t="str">
        <f t="shared" si="11"/>
        <v>nodejs|A3|B1d|B2a|C1c</v>
      </c>
      <c r="S87" t="str">
        <f t="shared" si="12"/>
        <v>E</v>
      </c>
      <c r="T87" t="str">
        <f t="shared" si="7"/>
        <v/>
      </c>
      <c r="U87" t="str">
        <f t="shared" si="8"/>
        <v/>
      </c>
      <c r="V87" t="str">
        <f t="shared" si="9"/>
        <v/>
      </c>
      <c r="W87" t="str">
        <f t="shared" si="10"/>
        <v/>
      </c>
    </row>
    <row r="88" spans="1:23" x14ac:dyDescent="0.3">
      <c r="A88" t="s">
        <v>222</v>
      </c>
      <c r="B88" s="1">
        <v>46272.592077430556</v>
      </c>
      <c r="C88" t="s">
        <v>18</v>
      </c>
      <c r="D88" t="s">
        <v>194</v>
      </c>
      <c r="E88" t="s">
        <v>79</v>
      </c>
      <c r="F88" t="s">
        <v>34</v>
      </c>
      <c r="G88" t="s">
        <v>22</v>
      </c>
      <c r="H88" t="s">
        <v>35</v>
      </c>
      <c r="I88" t="s">
        <v>24</v>
      </c>
      <c r="J88">
        <v>103</v>
      </c>
      <c r="K88" t="s">
        <v>54</v>
      </c>
      <c r="L88" t="s">
        <v>26</v>
      </c>
      <c r="M88">
        <v>103</v>
      </c>
      <c r="N88" t="s">
        <v>55</v>
      </c>
      <c r="O88" t="s">
        <v>223</v>
      </c>
      <c r="P88" t="s">
        <v>29</v>
      </c>
      <c r="Q88">
        <v>34120592828</v>
      </c>
      <c r="R88" s="2" t="str">
        <f t="shared" si="11"/>
        <v>nodejs|A3|B1d|B2b|C1a</v>
      </c>
      <c r="S88" t="str">
        <f t="shared" si="12"/>
        <v>M</v>
      </c>
      <c r="T88" t="str">
        <f t="shared" si="7"/>
        <v>same</v>
      </c>
      <c r="U88" t="str">
        <f t="shared" si="8"/>
        <v/>
      </c>
      <c r="V88" t="str">
        <f t="shared" si="9"/>
        <v/>
      </c>
      <c r="W88" t="str">
        <f t="shared" si="10"/>
        <v/>
      </c>
    </row>
    <row r="89" spans="1:23" x14ac:dyDescent="0.3">
      <c r="A89" t="s">
        <v>224</v>
      </c>
      <c r="B89" s="1">
        <v>46272.592903854165</v>
      </c>
      <c r="C89" t="s">
        <v>18</v>
      </c>
      <c r="D89" t="s">
        <v>194</v>
      </c>
      <c r="E89" t="s">
        <v>79</v>
      </c>
      <c r="F89" t="s">
        <v>34</v>
      </c>
      <c r="G89" t="s">
        <v>31</v>
      </c>
      <c r="H89" t="s">
        <v>35</v>
      </c>
      <c r="I89" t="s">
        <v>24</v>
      </c>
      <c r="J89">
        <v>103</v>
      </c>
      <c r="K89" t="s">
        <v>54</v>
      </c>
      <c r="L89" t="s">
        <v>26</v>
      </c>
      <c r="M89">
        <v>103</v>
      </c>
      <c r="N89" t="s">
        <v>55</v>
      </c>
      <c r="O89" t="s">
        <v>225</v>
      </c>
      <c r="P89" t="s">
        <v>29</v>
      </c>
      <c r="Q89">
        <v>34120699518</v>
      </c>
      <c r="R89" s="2" t="str">
        <f t="shared" si="11"/>
        <v>nodejs|A3|B1d|B2b|C1c</v>
      </c>
      <c r="S89" t="str">
        <f t="shared" si="12"/>
        <v>M</v>
      </c>
      <c r="T89" t="str">
        <f t="shared" si="7"/>
        <v/>
      </c>
      <c r="U89" t="str">
        <f t="shared" si="8"/>
        <v/>
      </c>
      <c r="V89" t="str">
        <f t="shared" si="9"/>
        <v/>
      </c>
      <c r="W89" t="str">
        <f t="shared" si="10"/>
        <v/>
      </c>
    </row>
    <row r="90" spans="1:23" x14ac:dyDescent="0.3">
      <c r="A90" t="s">
        <v>226</v>
      </c>
      <c r="B90" s="1">
        <v>46272.593337777776</v>
      </c>
      <c r="C90" t="s">
        <v>18</v>
      </c>
      <c r="D90" t="s">
        <v>194</v>
      </c>
      <c r="E90" t="s">
        <v>79</v>
      </c>
      <c r="F90" t="s">
        <v>42</v>
      </c>
      <c r="G90" t="s">
        <v>22</v>
      </c>
      <c r="H90" t="s">
        <v>35</v>
      </c>
      <c r="I90" t="s">
        <v>24</v>
      </c>
      <c r="J90">
        <v>103</v>
      </c>
      <c r="K90" t="s">
        <v>54</v>
      </c>
      <c r="L90" t="s">
        <v>26</v>
      </c>
      <c r="M90">
        <v>103</v>
      </c>
      <c r="N90" t="s">
        <v>55</v>
      </c>
      <c r="O90" t="s">
        <v>227</v>
      </c>
      <c r="P90" t="s">
        <v>29</v>
      </c>
      <c r="Q90">
        <v>34120757851</v>
      </c>
      <c r="R90" s="2" t="str">
        <f t="shared" si="11"/>
        <v>nodejs|A3|B1d|B2c|C1a</v>
      </c>
      <c r="S90" t="str">
        <f t="shared" si="12"/>
        <v>M</v>
      </c>
      <c r="T90" t="str">
        <f t="shared" si="7"/>
        <v>same</v>
      </c>
      <c r="U90" t="str">
        <f t="shared" si="8"/>
        <v/>
      </c>
      <c r="V90" t="str">
        <f t="shared" si="9"/>
        <v/>
      </c>
      <c r="W90" t="str">
        <f t="shared" si="10"/>
        <v/>
      </c>
    </row>
    <row r="91" spans="1:23" x14ac:dyDescent="0.3">
      <c r="A91" t="s">
        <v>228</v>
      </c>
      <c r="B91" s="1">
        <v>46272.594165925926</v>
      </c>
      <c r="C91" t="s">
        <v>18</v>
      </c>
      <c r="D91" t="s">
        <v>194</v>
      </c>
      <c r="E91" t="s">
        <v>79</v>
      </c>
      <c r="F91" t="s">
        <v>42</v>
      </c>
      <c r="G91" t="s">
        <v>31</v>
      </c>
      <c r="H91" t="s">
        <v>35</v>
      </c>
      <c r="I91" t="s">
        <v>24</v>
      </c>
      <c r="J91">
        <v>103</v>
      </c>
      <c r="K91" t="s">
        <v>54</v>
      </c>
      <c r="L91" t="s">
        <v>26</v>
      </c>
      <c r="M91">
        <v>103</v>
      </c>
      <c r="N91" t="s">
        <v>55</v>
      </c>
      <c r="O91" t="s">
        <v>229</v>
      </c>
      <c r="P91" t="s">
        <v>29</v>
      </c>
      <c r="Q91">
        <v>34120871263</v>
      </c>
      <c r="R91" s="2" t="str">
        <f t="shared" si="11"/>
        <v>nodejs|A3|B1d|B2c|C1c</v>
      </c>
      <c r="S91" t="str">
        <f t="shared" si="12"/>
        <v>M</v>
      </c>
      <c r="T91" t="str">
        <f t="shared" si="7"/>
        <v/>
      </c>
      <c r="U91" t="str">
        <f t="shared" si="8"/>
        <v/>
      </c>
      <c r="V91" t="str">
        <f t="shared" si="9"/>
        <v/>
      </c>
      <c r="W91" t="str">
        <f t="shared" si="10"/>
        <v/>
      </c>
    </row>
    <row r="92" spans="1:23" x14ac:dyDescent="0.3">
      <c r="A92" t="s">
        <v>230</v>
      </c>
      <c r="B92" s="1">
        <v>46272.594694791667</v>
      </c>
      <c r="C92" t="s">
        <v>231</v>
      </c>
      <c r="D92" t="s">
        <v>19</v>
      </c>
      <c r="E92" t="s">
        <v>20</v>
      </c>
      <c r="F92" t="s">
        <v>21</v>
      </c>
      <c r="G92" t="s">
        <v>22</v>
      </c>
      <c r="H92" t="s">
        <v>23</v>
      </c>
      <c r="I92" t="s">
        <v>232</v>
      </c>
      <c r="J92">
        <v>100</v>
      </c>
      <c r="K92" t="s">
        <v>233</v>
      </c>
      <c r="L92" t="s">
        <v>234</v>
      </c>
      <c r="M92">
        <v>100</v>
      </c>
      <c r="N92" t="s">
        <v>235</v>
      </c>
      <c r="O92" t="s">
        <v>236</v>
      </c>
      <c r="P92" t="s">
        <v>29</v>
      </c>
      <c r="Q92">
        <v>34120931612</v>
      </c>
      <c r="R92" s="2" t="str">
        <f t="shared" si="11"/>
        <v>python|A1a|B1a|B2a|C1a</v>
      </c>
      <c r="S92" t="str">
        <f t="shared" si="12"/>
        <v>P</v>
      </c>
      <c r="T92" t="str">
        <f t="shared" si="7"/>
        <v>same</v>
      </c>
      <c r="U92" t="str">
        <f t="shared" si="8"/>
        <v/>
      </c>
      <c r="V92" t="str">
        <f t="shared" si="9"/>
        <v/>
      </c>
      <c r="W92" t="str">
        <f t="shared" si="10"/>
        <v>same</v>
      </c>
    </row>
    <row r="93" spans="1:23" x14ac:dyDescent="0.3">
      <c r="A93" t="s">
        <v>237</v>
      </c>
      <c r="B93" s="1">
        <v>46272.595281400463</v>
      </c>
      <c r="C93" t="s">
        <v>231</v>
      </c>
      <c r="D93" t="s">
        <v>19</v>
      </c>
      <c r="E93" t="s">
        <v>20</v>
      </c>
      <c r="F93" t="s">
        <v>21</v>
      </c>
      <c r="G93" t="s">
        <v>238</v>
      </c>
      <c r="H93" t="s">
        <v>23</v>
      </c>
      <c r="I93" t="s">
        <v>232</v>
      </c>
      <c r="J93">
        <v>100</v>
      </c>
      <c r="K93" t="s">
        <v>233</v>
      </c>
      <c r="L93" t="s">
        <v>234</v>
      </c>
      <c r="M93">
        <v>100</v>
      </c>
      <c r="N93" t="s">
        <v>235</v>
      </c>
      <c r="O93" t="s">
        <v>239</v>
      </c>
      <c r="P93" t="s">
        <v>29</v>
      </c>
      <c r="Q93">
        <v>34121001559</v>
      </c>
      <c r="R93" s="2" t="str">
        <f t="shared" si="11"/>
        <v>python|A1a|B1a|B2a|C1b</v>
      </c>
      <c r="S93" t="str">
        <f t="shared" si="12"/>
        <v>P</v>
      </c>
      <c r="T93" t="str">
        <f t="shared" si="7"/>
        <v/>
      </c>
      <c r="U93" t="str">
        <f t="shared" si="8"/>
        <v/>
      </c>
      <c r="V93" t="str">
        <f t="shared" si="9"/>
        <v/>
      </c>
      <c r="W93" t="str">
        <f t="shared" si="10"/>
        <v>same</v>
      </c>
    </row>
    <row r="94" spans="1:23" x14ac:dyDescent="0.3">
      <c r="A94" t="s">
        <v>240</v>
      </c>
      <c r="B94" s="1">
        <v>46272.595768680556</v>
      </c>
      <c r="C94" t="s">
        <v>231</v>
      </c>
      <c r="D94" t="s">
        <v>19</v>
      </c>
      <c r="E94" t="s">
        <v>20</v>
      </c>
      <c r="F94" t="s">
        <v>21</v>
      </c>
      <c r="G94" t="s">
        <v>31</v>
      </c>
      <c r="H94" t="s">
        <v>23</v>
      </c>
      <c r="I94" t="s">
        <v>232</v>
      </c>
      <c r="J94">
        <v>100</v>
      </c>
      <c r="K94" t="s">
        <v>233</v>
      </c>
      <c r="L94" t="s">
        <v>234</v>
      </c>
      <c r="M94">
        <v>100</v>
      </c>
      <c r="N94" t="s">
        <v>235</v>
      </c>
      <c r="O94" t="s">
        <v>241</v>
      </c>
      <c r="P94" t="s">
        <v>29</v>
      </c>
      <c r="Q94">
        <v>34121077911</v>
      </c>
      <c r="R94" s="2" t="str">
        <f t="shared" si="11"/>
        <v>python|A1a|B1a|B2a|C1c</v>
      </c>
      <c r="S94" t="str">
        <f t="shared" si="12"/>
        <v>P</v>
      </c>
      <c r="T94" t="str">
        <f t="shared" si="7"/>
        <v/>
      </c>
      <c r="U94" t="str">
        <f t="shared" si="8"/>
        <v/>
      </c>
      <c r="V94" t="str">
        <f t="shared" si="9"/>
        <v/>
      </c>
      <c r="W94" t="str">
        <f t="shared" si="10"/>
        <v>same</v>
      </c>
    </row>
    <row r="95" spans="1:23" x14ac:dyDescent="0.3">
      <c r="A95" t="s">
        <v>242</v>
      </c>
      <c r="B95" s="1">
        <v>46272.59622097222</v>
      </c>
      <c r="C95" t="s">
        <v>231</v>
      </c>
      <c r="D95" t="s">
        <v>19</v>
      </c>
      <c r="E95" t="s">
        <v>20</v>
      </c>
      <c r="F95" t="s">
        <v>34</v>
      </c>
      <c r="G95" t="s">
        <v>22</v>
      </c>
      <c r="H95" t="s">
        <v>35</v>
      </c>
      <c r="I95" t="s">
        <v>232</v>
      </c>
      <c r="J95">
        <v>103</v>
      </c>
      <c r="K95" t="s">
        <v>243</v>
      </c>
      <c r="L95" t="s">
        <v>234</v>
      </c>
      <c r="M95">
        <v>103</v>
      </c>
      <c r="N95" t="s">
        <v>244</v>
      </c>
      <c r="O95" t="s">
        <v>245</v>
      </c>
      <c r="P95" t="s">
        <v>29</v>
      </c>
      <c r="Q95">
        <v>34121142276</v>
      </c>
      <c r="R95" s="2" t="str">
        <f t="shared" si="11"/>
        <v>python|A1a|B1a|B2b|C1a</v>
      </c>
      <c r="S95" t="str">
        <f t="shared" si="12"/>
        <v>M</v>
      </c>
      <c r="T95" t="str">
        <f t="shared" si="7"/>
        <v>same</v>
      </c>
      <c r="U95" t="str">
        <f t="shared" si="8"/>
        <v/>
      </c>
      <c r="V95" t="str">
        <f t="shared" si="9"/>
        <v/>
      </c>
      <c r="W95" t="str">
        <f t="shared" si="10"/>
        <v>same</v>
      </c>
    </row>
    <row r="96" spans="1:23" x14ac:dyDescent="0.3">
      <c r="A96" t="s">
        <v>246</v>
      </c>
      <c r="B96" s="1">
        <v>46272.596792719909</v>
      </c>
      <c r="C96" t="s">
        <v>231</v>
      </c>
      <c r="D96" t="s">
        <v>19</v>
      </c>
      <c r="E96" t="s">
        <v>20</v>
      </c>
      <c r="F96" t="s">
        <v>34</v>
      </c>
      <c r="G96" t="s">
        <v>238</v>
      </c>
      <c r="H96" t="s">
        <v>35</v>
      </c>
      <c r="I96" t="s">
        <v>232</v>
      </c>
      <c r="J96">
        <v>103</v>
      </c>
      <c r="K96" t="s">
        <v>243</v>
      </c>
      <c r="L96" t="s">
        <v>234</v>
      </c>
      <c r="M96">
        <v>103</v>
      </c>
      <c r="N96" t="s">
        <v>244</v>
      </c>
      <c r="O96" t="s">
        <v>247</v>
      </c>
      <c r="P96" t="s">
        <v>29</v>
      </c>
      <c r="Q96">
        <v>34121196965</v>
      </c>
      <c r="R96" s="2" t="str">
        <f t="shared" si="11"/>
        <v>python|A1a|B1a|B2b|C1b</v>
      </c>
      <c r="S96" t="str">
        <f t="shared" si="12"/>
        <v>M</v>
      </c>
      <c r="T96" t="str">
        <f t="shared" si="7"/>
        <v/>
      </c>
      <c r="U96" t="str">
        <f t="shared" si="8"/>
        <v/>
      </c>
      <c r="V96" t="str">
        <f t="shared" si="9"/>
        <v/>
      </c>
      <c r="W96" t="str">
        <f t="shared" si="10"/>
        <v>same</v>
      </c>
    </row>
    <row r="97" spans="1:23" x14ac:dyDescent="0.3">
      <c r="A97" t="s">
        <v>248</v>
      </c>
      <c r="B97" s="1">
        <v>46272.5973075</v>
      </c>
      <c r="C97" t="s">
        <v>231</v>
      </c>
      <c r="D97" t="s">
        <v>19</v>
      </c>
      <c r="E97" t="s">
        <v>20</v>
      </c>
      <c r="F97" t="s">
        <v>34</v>
      </c>
      <c r="G97" t="s">
        <v>31</v>
      </c>
      <c r="H97" t="s">
        <v>35</v>
      </c>
      <c r="I97" t="s">
        <v>232</v>
      </c>
      <c r="J97">
        <v>103</v>
      </c>
      <c r="K97" t="s">
        <v>243</v>
      </c>
      <c r="L97" t="s">
        <v>234</v>
      </c>
      <c r="M97">
        <v>103</v>
      </c>
      <c r="N97" t="s">
        <v>244</v>
      </c>
      <c r="O97" t="s">
        <v>249</v>
      </c>
      <c r="P97" t="s">
        <v>29</v>
      </c>
      <c r="Q97">
        <v>34121268501</v>
      </c>
      <c r="R97" s="2" t="str">
        <f t="shared" si="11"/>
        <v>python|A1a|B1a|B2b|C1c</v>
      </c>
      <c r="S97" t="str">
        <f t="shared" si="12"/>
        <v>M</v>
      </c>
      <c r="T97" t="str">
        <f t="shared" si="7"/>
        <v/>
      </c>
      <c r="U97" t="str">
        <f t="shared" si="8"/>
        <v/>
      </c>
      <c r="V97" t="str">
        <f t="shared" si="9"/>
        <v/>
      </c>
      <c r="W97" t="str">
        <f t="shared" si="10"/>
        <v>same</v>
      </c>
    </row>
    <row r="98" spans="1:23" x14ac:dyDescent="0.3">
      <c r="A98" t="s">
        <v>250</v>
      </c>
      <c r="B98" s="1">
        <v>46272.597759918979</v>
      </c>
      <c r="C98" t="s">
        <v>231</v>
      </c>
      <c r="D98" t="s">
        <v>19</v>
      </c>
      <c r="E98" t="s">
        <v>20</v>
      </c>
      <c r="F98" t="s">
        <v>42</v>
      </c>
      <c r="G98" t="s">
        <v>22</v>
      </c>
      <c r="H98" t="s">
        <v>35</v>
      </c>
      <c r="I98" t="s">
        <v>232</v>
      </c>
      <c r="J98">
        <v>103</v>
      </c>
      <c r="K98" t="s">
        <v>243</v>
      </c>
      <c r="L98" t="s">
        <v>234</v>
      </c>
      <c r="M98">
        <v>103</v>
      </c>
      <c r="N98" t="s">
        <v>244</v>
      </c>
      <c r="O98" t="s">
        <v>251</v>
      </c>
      <c r="P98" t="s">
        <v>29</v>
      </c>
      <c r="Q98">
        <v>34121335898</v>
      </c>
      <c r="R98" s="2" t="str">
        <f t="shared" si="11"/>
        <v>python|A1a|B1a|B2c|C1a</v>
      </c>
      <c r="S98" t="str">
        <f t="shared" si="12"/>
        <v>M</v>
      </c>
      <c r="T98" t="str">
        <f t="shared" si="7"/>
        <v>same</v>
      </c>
      <c r="U98" t="str">
        <f t="shared" si="8"/>
        <v/>
      </c>
      <c r="V98" t="str">
        <f t="shared" si="9"/>
        <v/>
      </c>
      <c r="W98" t="str">
        <f t="shared" si="10"/>
        <v>same</v>
      </c>
    </row>
    <row r="99" spans="1:23" x14ac:dyDescent="0.3">
      <c r="A99" t="s">
        <v>252</v>
      </c>
      <c r="B99" s="1">
        <v>46272.598290451388</v>
      </c>
      <c r="C99" t="s">
        <v>231</v>
      </c>
      <c r="D99" t="s">
        <v>19</v>
      </c>
      <c r="E99" t="s">
        <v>20</v>
      </c>
      <c r="F99" t="s">
        <v>42</v>
      </c>
      <c r="G99" t="s">
        <v>238</v>
      </c>
      <c r="H99" t="s">
        <v>35</v>
      </c>
      <c r="I99" t="s">
        <v>232</v>
      </c>
      <c r="J99">
        <v>103</v>
      </c>
      <c r="K99" t="s">
        <v>243</v>
      </c>
      <c r="L99" t="s">
        <v>234</v>
      </c>
      <c r="M99">
        <v>103</v>
      </c>
      <c r="N99" t="s">
        <v>244</v>
      </c>
      <c r="O99" t="s">
        <v>253</v>
      </c>
      <c r="P99" t="s">
        <v>29</v>
      </c>
      <c r="Q99">
        <v>34121388780</v>
      </c>
      <c r="R99" s="2" t="str">
        <f t="shared" si="11"/>
        <v>python|A1a|B1a|B2c|C1b</v>
      </c>
      <c r="S99" t="str">
        <f t="shared" si="12"/>
        <v>M</v>
      </c>
      <c r="T99" t="str">
        <f t="shared" si="7"/>
        <v/>
      </c>
      <c r="U99" t="str">
        <f t="shared" si="8"/>
        <v/>
      </c>
      <c r="V99" t="str">
        <f t="shared" si="9"/>
        <v/>
      </c>
      <c r="W99" t="str">
        <f t="shared" si="10"/>
        <v>same</v>
      </c>
    </row>
    <row r="100" spans="1:23" x14ac:dyDescent="0.3">
      <c r="A100" t="s">
        <v>254</v>
      </c>
      <c r="B100" s="1">
        <v>46272.598733634259</v>
      </c>
      <c r="C100" t="s">
        <v>231</v>
      </c>
      <c r="D100" t="s">
        <v>19</v>
      </c>
      <c r="E100" t="s">
        <v>20</v>
      </c>
      <c r="F100" t="s">
        <v>42</v>
      </c>
      <c r="G100" t="s">
        <v>31</v>
      </c>
      <c r="H100" t="s">
        <v>35</v>
      </c>
      <c r="I100" t="s">
        <v>232</v>
      </c>
      <c r="J100">
        <v>103</v>
      </c>
      <c r="K100" t="s">
        <v>243</v>
      </c>
      <c r="L100" t="s">
        <v>234</v>
      </c>
      <c r="M100">
        <v>103</v>
      </c>
      <c r="N100" t="s">
        <v>244</v>
      </c>
      <c r="O100" t="s">
        <v>255</v>
      </c>
      <c r="P100" t="s">
        <v>29</v>
      </c>
      <c r="Q100">
        <v>34121456574</v>
      </c>
      <c r="R100" s="2" t="str">
        <f t="shared" si="11"/>
        <v>python|A1a|B1a|B2c|C1c</v>
      </c>
      <c r="S100" t="str">
        <f t="shared" si="12"/>
        <v>M</v>
      </c>
      <c r="T100" t="str">
        <f t="shared" si="7"/>
        <v/>
      </c>
      <c r="U100" t="str">
        <f t="shared" si="8"/>
        <v/>
      </c>
      <c r="V100" t="str">
        <f t="shared" si="9"/>
        <v/>
      </c>
      <c r="W100" t="str">
        <f t="shared" si="10"/>
        <v>same</v>
      </c>
    </row>
    <row r="101" spans="1:23" x14ac:dyDescent="0.3">
      <c r="A101" t="s">
        <v>256</v>
      </c>
      <c r="B101" s="1">
        <v>46272.599230613429</v>
      </c>
      <c r="C101" t="s">
        <v>231</v>
      </c>
      <c r="D101" t="s">
        <v>19</v>
      </c>
      <c r="E101" t="s">
        <v>47</v>
      </c>
      <c r="F101" t="s">
        <v>21</v>
      </c>
      <c r="G101" t="s">
        <v>22</v>
      </c>
      <c r="H101" t="s">
        <v>23</v>
      </c>
      <c r="I101" t="s">
        <v>232</v>
      </c>
      <c r="J101">
        <v>100</v>
      </c>
      <c r="K101" t="s">
        <v>233</v>
      </c>
      <c r="L101" t="s">
        <v>234</v>
      </c>
      <c r="M101">
        <v>100</v>
      </c>
      <c r="N101" t="s">
        <v>235</v>
      </c>
      <c r="O101" t="s">
        <v>257</v>
      </c>
      <c r="P101" t="s">
        <v>29</v>
      </c>
      <c r="Q101">
        <v>34121510343</v>
      </c>
      <c r="R101" s="2" t="str">
        <f t="shared" si="11"/>
        <v>python|A1a|B1b|B2a|C1a</v>
      </c>
      <c r="S101" t="str">
        <f t="shared" si="12"/>
        <v>P</v>
      </c>
      <c r="T101" t="str">
        <f t="shared" si="7"/>
        <v>same</v>
      </c>
      <c r="U101" t="str">
        <f t="shared" si="8"/>
        <v/>
      </c>
      <c r="V101" t="str">
        <f t="shared" si="9"/>
        <v/>
      </c>
      <c r="W101" t="str">
        <f t="shared" si="10"/>
        <v>same</v>
      </c>
    </row>
    <row r="102" spans="1:23" x14ac:dyDescent="0.3">
      <c r="A102" t="s">
        <v>258</v>
      </c>
      <c r="B102" s="1">
        <v>46272.599823668985</v>
      </c>
      <c r="C102" t="s">
        <v>231</v>
      </c>
      <c r="D102" t="s">
        <v>19</v>
      </c>
      <c r="E102" t="s">
        <v>47</v>
      </c>
      <c r="F102" t="s">
        <v>21</v>
      </c>
      <c r="G102" t="s">
        <v>238</v>
      </c>
      <c r="H102" t="s">
        <v>23</v>
      </c>
      <c r="I102" t="s">
        <v>232</v>
      </c>
      <c r="J102">
        <v>100</v>
      </c>
      <c r="K102" t="s">
        <v>233</v>
      </c>
      <c r="L102" t="s">
        <v>234</v>
      </c>
      <c r="M102">
        <v>100</v>
      </c>
      <c r="N102" t="s">
        <v>235</v>
      </c>
      <c r="O102" t="s">
        <v>259</v>
      </c>
      <c r="P102" t="s">
        <v>29</v>
      </c>
      <c r="Q102">
        <v>34121572057</v>
      </c>
      <c r="R102" s="2" t="str">
        <f t="shared" si="11"/>
        <v>python|A1a|B1b|B2a|C1b</v>
      </c>
      <c r="S102" t="str">
        <f t="shared" si="12"/>
        <v>P</v>
      </c>
      <c r="T102" t="str">
        <f t="shared" si="7"/>
        <v/>
      </c>
      <c r="U102" t="str">
        <f t="shared" si="8"/>
        <v/>
      </c>
      <c r="V102" t="str">
        <f t="shared" si="9"/>
        <v/>
      </c>
      <c r="W102" t="str">
        <f t="shared" si="10"/>
        <v>same</v>
      </c>
    </row>
    <row r="103" spans="1:23" x14ac:dyDescent="0.3">
      <c r="A103" t="s">
        <v>260</v>
      </c>
      <c r="B103" s="1">
        <v>46272.600370243053</v>
      </c>
      <c r="C103" t="s">
        <v>231</v>
      </c>
      <c r="D103" t="s">
        <v>19</v>
      </c>
      <c r="E103" t="s">
        <v>47</v>
      </c>
      <c r="F103" t="s">
        <v>21</v>
      </c>
      <c r="G103" t="s">
        <v>31</v>
      </c>
      <c r="H103" t="s">
        <v>23</v>
      </c>
      <c r="I103" t="s">
        <v>232</v>
      </c>
      <c r="J103">
        <v>100</v>
      </c>
      <c r="K103" t="s">
        <v>233</v>
      </c>
      <c r="L103" t="s">
        <v>234</v>
      </c>
      <c r="M103">
        <v>100</v>
      </c>
      <c r="N103" t="s">
        <v>235</v>
      </c>
      <c r="O103" t="s">
        <v>261</v>
      </c>
      <c r="P103" t="s">
        <v>29</v>
      </c>
      <c r="Q103">
        <v>34121647872</v>
      </c>
      <c r="R103" s="2" t="str">
        <f t="shared" si="11"/>
        <v>python|A1a|B1b|B2a|C1c</v>
      </c>
      <c r="S103" t="str">
        <f t="shared" si="12"/>
        <v>P</v>
      </c>
      <c r="T103" t="str">
        <f t="shared" si="7"/>
        <v/>
      </c>
      <c r="U103" t="str">
        <f t="shared" si="8"/>
        <v/>
      </c>
      <c r="V103" t="str">
        <f t="shared" si="9"/>
        <v/>
      </c>
      <c r="W103" t="str">
        <f t="shared" si="10"/>
        <v>same</v>
      </c>
    </row>
    <row r="104" spans="1:23" x14ac:dyDescent="0.3">
      <c r="A104" t="s">
        <v>262</v>
      </c>
      <c r="B104" s="1">
        <v>46272.600917627315</v>
      </c>
      <c r="C104" t="s">
        <v>231</v>
      </c>
      <c r="D104" t="s">
        <v>19</v>
      </c>
      <c r="E104" t="s">
        <v>47</v>
      </c>
      <c r="F104" t="s">
        <v>34</v>
      </c>
      <c r="G104" t="s">
        <v>22</v>
      </c>
      <c r="H104" t="s">
        <v>35</v>
      </c>
      <c r="I104" t="s">
        <v>232</v>
      </c>
      <c r="J104">
        <v>103</v>
      </c>
      <c r="K104" t="s">
        <v>263</v>
      </c>
      <c r="L104" t="s">
        <v>234</v>
      </c>
      <c r="M104">
        <v>103</v>
      </c>
      <c r="N104" t="s">
        <v>264</v>
      </c>
      <c r="O104" t="s">
        <v>265</v>
      </c>
      <c r="P104" t="s">
        <v>29</v>
      </c>
      <c r="Q104">
        <v>34121717338</v>
      </c>
      <c r="R104" s="2" t="str">
        <f t="shared" si="11"/>
        <v>python|A1a|B1b|B2b|C1a</v>
      </c>
      <c r="S104" t="str">
        <f t="shared" si="12"/>
        <v>M</v>
      </c>
      <c r="T104" t="str">
        <f t="shared" si="7"/>
        <v>same</v>
      </c>
      <c r="U104" t="str">
        <f t="shared" si="8"/>
        <v/>
      </c>
      <c r="V104" t="str">
        <f t="shared" si="9"/>
        <v/>
      </c>
      <c r="W104" t="str">
        <f t="shared" si="10"/>
        <v>same</v>
      </c>
    </row>
    <row r="105" spans="1:23" x14ac:dyDescent="0.3">
      <c r="A105" t="s">
        <v>266</v>
      </c>
      <c r="B105" s="1">
        <v>46272.601555439818</v>
      </c>
      <c r="C105" t="s">
        <v>231</v>
      </c>
      <c r="D105" t="s">
        <v>19</v>
      </c>
      <c r="E105" t="s">
        <v>47</v>
      </c>
      <c r="F105" t="s">
        <v>34</v>
      </c>
      <c r="G105" t="s">
        <v>238</v>
      </c>
      <c r="H105" t="s">
        <v>35</v>
      </c>
      <c r="I105" t="s">
        <v>232</v>
      </c>
      <c r="J105">
        <v>103</v>
      </c>
      <c r="K105" t="s">
        <v>263</v>
      </c>
      <c r="L105" t="s">
        <v>234</v>
      </c>
      <c r="M105">
        <v>103</v>
      </c>
      <c r="N105" t="s">
        <v>264</v>
      </c>
      <c r="O105" t="s">
        <v>267</v>
      </c>
      <c r="P105" t="s">
        <v>29</v>
      </c>
      <c r="Q105">
        <v>34121792257</v>
      </c>
      <c r="R105" s="2" t="str">
        <f t="shared" si="11"/>
        <v>python|A1a|B1b|B2b|C1b</v>
      </c>
      <c r="S105" t="str">
        <f t="shared" si="12"/>
        <v>M</v>
      </c>
      <c r="T105" t="str">
        <f t="shared" si="7"/>
        <v/>
      </c>
      <c r="U105" t="str">
        <f t="shared" si="8"/>
        <v/>
      </c>
      <c r="V105" t="str">
        <f t="shared" si="9"/>
        <v/>
      </c>
      <c r="W105" t="str">
        <f t="shared" si="10"/>
        <v>same</v>
      </c>
    </row>
    <row r="106" spans="1:23" x14ac:dyDescent="0.3">
      <c r="A106" t="s">
        <v>268</v>
      </c>
      <c r="B106" s="1">
        <v>46272.602055127318</v>
      </c>
      <c r="C106" t="s">
        <v>231</v>
      </c>
      <c r="D106" t="s">
        <v>19</v>
      </c>
      <c r="E106" t="s">
        <v>47</v>
      </c>
      <c r="F106" t="s">
        <v>34</v>
      </c>
      <c r="G106" t="s">
        <v>31</v>
      </c>
      <c r="H106" t="s">
        <v>35</v>
      </c>
      <c r="I106" t="s">
        <v>232</v>
      </c>
      <c r="J106">
        <v>103</v>
      </c>
      <c r="K106" t="s">
        <v>263</v>
      </c>
      <c r="L106" t="s">
        <v>234</v>
      </c>
      <c r="M106">
        <v>103</v>
      </c>
      <c r="N106" t="s">
        <v>264</v>
      </c>
      <c r="O106" t="s">
        <v>269</v>
      </c>
      <c r="P106" t="s">
        <v>29</v>
      </c>
      <c r="Q106">
        <v>34121876011</v>
      </c>
      <c r="R106" s="2" t="str">
        <f t="shared" si="11"/>
        <v>python|A1a|B1b|B2b|C1c</v>
      </c>
      <c r="S106" t="str">
        <f t="shared" si="12"/>
        <v>M</v>
      </c>
      <c r="T106" t="str">
        <f t="shared" si="7"/>
        <v/>
      </c>
      <c r="U106" t="str">
        <f t="shared" si="8"/>
        <v/>
      </c>
      <c r="V106" t="str">
        <f t="shared" si="9"/>
        <v/>
      </c>
      <c r="W106" t="str">
        <f t="shared" si="10"/>
        <v>same</v>
      </c>
    </row>
    <row r="107" spans="1:23" x14ac:dyDescent="0.3">
      <c r="A107" t="s">
        <v>270</v>
      </c>
      <c r="B107" s="1">
        <v>46272.602505821756</v>
      </c>
      <c r="C107" t="s">
        <v>231</v>
      </c>
      <c r="D107" t="s">
        <v>19</v>
      </c>
      <c r="E107" t="s">
        <v>47</v>
      </c>
      <c r="F107" t="s">
        <v>42</v>
      </c>
      <c r="G107" t="s">
        <v>22</v>
      </c>
      <c r="H107" t="s">
        <v>35</v>
      </c>
      <c r="I107" t="s">
        <v>232</v>
      </c>
      <c r="J107">
        <v>103</v>
      </c>
      <c r="K107" t="s">
        <v>263</v>
      </c>
      <c r="L107" t="s">
        <v>234</v>
      </c>
      <c r="M107">
        <v>103</v>
      </c>
      <c r="N107" t="s">
        <v>264</v>
      </c>
      <c r="O107" t="s">
        <v>271</v>
      </c>
      <c r="P107" t="s">
        <v>29</v>
      </c>
      <c r="Q107">
        <v>34121938098</v>
      </c>
      <c r="R107" s="2" t="str">
        <f t="shared" si="11"/>
        <v>python|A1a|B1b|B2c|C1a</v>
      </c>
      <c r="S107" t="str">
        <f t="shared" si="12"/>
        <v>M</v>
      </c>
      <c r="T107" t="str">
        <f t="shared" si="7"/>
        <v>same</v>
      </c>
      <c r="U107" t="str">
        <f t="shared" si="8"/>
        <v/>
      </c>
      <c r="V107" t="str">
        <f t="shared" si="9"/>
        <v/>
      </c>
      <c r="W107" t="str">
        <f t="shared" si="10"/>
        <v>same</v>
      </c>
    </row>
    <row r="108" spans="1:23" x14ac:dyDescent="0.3">
      <c r="A108" t="s">
        <v>272</v>
      </c>
      <c r="B108" s="1">
        <v>46272.603265520833</v>
      </c>
      <c r="C108" t="s">
        <v>231</v>
      </c>
      <c r="D108" t="s">
        <v>19</v>
      </c>
      <c r="E108" t="s">
        <v>47</v>
      </c>
      <c r="F108" t="s">
        <v>42</v>
      </c>
      <c r="G108" t="s">
        <v>238</v>
      </c>
      <c r="H108" t="s">
        <v>35</v>
      </c>
      <c r="I108" t="s">
        <v>232</v>
      </c>
      <c r="J108">
        <v>103</v>
      </c>
      <c r="K108" t="s">
        <v>263</v>
      </c>
      <c r="L108" t="s">
        <v>234</v>
      </c>
      <c r="M108">
        <v>103</v>
      </c>
      <c r="N108" t="s">
        <v>264</v>
      </c>
      <c r="O108" t="s">
        <v>273</v>
      </c>
      <c r="P108" t="s">
        <v>29</v>
      </c>
      <c r="Q108">
        <v>34121998883</v>
      </c>
      <c r="R108" s="2" t="str">
        <f t="shared" si="11"/>
        <v>python|A1a|B1b|B2c|C1b</v>
      </c>
      <c r="S108" t="str">
        <f t="shared" si="12"/>
        <v>M</v>
      </c>
      <c r="T108" t="str">
        <f t="shared" si="7"/>
        <v/>
      </c>
      <c r="U108" t="str">
        <f t="shared" si="8"/>
        <v/>
      </c>
      <c r="V108" t="str">
        <f t="shared" si="9"/>
        <v/>
      </c>
      <c r="W108" t="str">
        <f t="shared" si="10"/>
        <v>same</v>
      </c>
    </row>
    <row r="109" spans="1:23" x14ac:dyDescent="0.3">
      <c r="A109" t="s">
        <v>274</v>
      </c>
      <c r="B109" s="1">
        <v>46272.603844768521</v>
      </c>
      <c r="C109" t="s">
        <v>231</v>
      </c>
      <c r="D109" t="s">
        <v>19</v>
      </c>
      <c r="E109" t="s">
        <v>47</v>
      </c>
      <c r="F109" t="s">
        <v>42</v>
      </c>
      <c r="G109" t="s">
        <v>31</v>
      </c>
      <c r="H109" t="s">
        <v>35</v>
      </c>
      <c r="I109" t="s">
        <v>232</v>
      </c>
      <c r="J109">
        <v>103</v>
      </c>
      <c r="K109" t="s">
        <v>263</v>
      </c>
      <c r="L109" t="s">
        <v>234</v>
      </c>
      <c r="M109">
        <v>103</v>
      </c>
      <c r="N109" t="s">
        <v>264</v>
      </c>
      <c r="O109" t="s">
        <v>275</v>
      </c>
      <c r="P109" t="s">
        <v>29</v>
      </c>
      <c r="Q109">
        <v>34122094413</v>
      </c>
      <c r="R109" s="2" t="str">
        <f t="shared" si="11"/>
        <v>python|A1a|B1b|B2c|C1c</v>
      </c>
      <c r="S109" t="str">
        <f t="shared" si="12"/>
        <v>M</v>
      </c>
      <c r="T109" t="str">
        <f t="shared" si="7"/>
        <v/>
      </c>
      <c r="U109" t="str">
        <f t="shared" si="8"/>
        <v/>
      </c>
      <c r="V109" t="str">
        <f t="shared" si="9"/>
        <v/>
      </c>
      <c r="W109" t="str">
        <f t="shared" si="10"/>
        <v>same</v>
      </c>
    </row>
    <row r="110" spans="1:23" x14ac:dyDescent="0.3">
      <c r="A110" t="s">
        <v>276</v>
      </c>
      <c r="B110" s="1">
        <v>46272.604471331018</v>
      </c>
      <c r="C110" t="s">
        <v>231</v>
      </c>
      <c r="D110" t="s">
        <v>19</v>
      </c>
      <c r="E110" t="s">
        <v>64</v>
      </c>
      <c r="F110" t="s">
        <v>21</v>
      </c>
      <c r="G110" t="s">
        <v>22</v>
      </c>
      <c r="H110" t="s">
        <v>23</v>
      </c>
      <c r="I110" t="s">
        <v>232</v>
      </c>
      <c r="J110">
        <v>100</v>
      </c>
      <c r="K110" t="s">
        <v>233</v>
      </c>
      <c r="L110" t="s">
        <v>234</v>
      </c>
      <c r="M110">
        <v>100</v>
      </c>
      <c r="N110" t="s">
        <v>235</v>
      </c>
      <c r="O110" t="s">
        <v>277</v>
      </c>
      <c r="P110" t="s">
        <v>29</v>
      </c>
      <c r="Q110">
        <v>34122167211</v>
      </c>
      <c r="R110" s="2" t="str">
        <f t="shared" si="11"/>
        <v>python|A1a|B1c|B2a|C1a</v>
      </c>
      <c r="S110" t="str">
        <f t="shared" si="12"/>
        <v>P</v>
      </c>
      <c r="T110" t="str">
        <f t="shared" si="7"/>
        <v>same</v>
      </c>
      <c r="U110" t="str">
        <f t="shared" si="8"/>
        <v/>
      </c>
      <c r="V110" t="str">
        <f t="shared" si="9"/>
        <v/>
      </c>
      <c r="W110" t="str">
        <f t="shared" si="10"/>
        <v>same</v>
      </c>
    </row>
    <row r="111" spans="1:23" x14ac:dyDescent="0.3">
      <c r="A111" t="s">
        <v>278</v>
      </c>
      <c r="B111" s="1">
        <v>46272.605519652781</v>
      </c>
      <c r="C111" t="s">
        <v>231</v>
      </c>
      <c r="D111" t="s">
        <v>19</v>
      </c>
      <c r="E111" t="s">
        <v>64</v>
      </c>
      <c r="F111" t="s">
        <v>21</v>
      </c>
      <c r="G111" t="s">
        <v>238</v>
      </c>
      <c r="H111" t="s">
        <v>23</v>
      </c>
      <c r="I111" t="s">
        <v>232</v>
      </c>
      <c r="J111">
        <v>100</v>
      </c>
      <c r="K111" t="s">
        <v>233</v>
      </c>
      <c r="L111" t="s">
        <v>234</v>
      </c>
      <c r="M111">
        <v>100</v>
      </c>
      <c r="N111" t="s">
        <v>235</v>
      </c>
      <c r="O111" t="s">
        <v>279</v>
      </c>
      <c r="P111" t="s">
        <v>29</v>
      </c>
      <c r="Q111">
        <v>34122254187</v>
      </c>
      <c r="R111" s="2" t="str">
        <f t="shared" si="11"/>
        <v>python|A1a|B1c|B2a|C1b</v>
      </c>
      <c r="S111" t="str">
        <f t="shared" si="12"/>
        <v>P</v>
      </c>
      <c r="T111" t="str">
        <f t="shared" si="7"/>
        <v/>
      </c>
      <c r="U111" t="str">
        <f t="shared" si="8"/>
        <v/>
      </c>
      <c r="V111" t="str">
        <f t="shared" si="9"/>
        <v/>
      </c>
      <c r="W111" t="str">
        <f t="shared" si="10"/>
        <v>same</v>
      </c>
    </row>
    <row r="112" spans="1:23" x14ac:dyDescent="0.3">
      <c r="A112" t="s">
        <v>280</v>
      </c>
      <c r="B112" s="1">
        <v>46272.606258703701</v>
      </c>
      <c r="C112" t="s">
        <v>231</v>
      </c>
      <c r="D112" t="s">
        <v>19</v>
      </c>
      <c r="E112" t="s">
        <v>64</v>
      </c>
      <c r="F112" t="s">
        <v>21</v>
      </c>
      <c r="G112" t="s">
        <v>31</v>
      </c>
      <c r="H112" t="s">
        <v>23</v>
      </c>
      <c r="I112" t="s">
        <v>232</v>
      </c>
      <c r="J112">
        <v>100</v>
      </c>
      <c r="K112" t="s">
        <v>233</v>
      </c>
      <c r="L112" t="s">
        <v>234</v>
      </c>
      <c r="M112">
        <v>100</v>
      </c>
      <c r="N112" t="s">
        <v>235</v>
      </c>
      <c r="O112" t="s">
        <v>281</v>
      </c>
      <c r="P112" t="s">
        <v>29</v>
      </c>
      <c r="Q112">
        <v>34122391849</v>
      </c>
      <c r="R112" s="2" t="str">
        <f t="shared" si="11"/>
        <v>python|A1a|B1c|B2a|C1c</v>
      </c>
      <c r="S112" t="str">
        <f t="shared" si="12"/>
        <v>P</v>
      </c>
      <c r="T112" t="str">
        <f t="shared" si="7"/>
        <v/>
      </c>
      <c r="U112" t="str">
        <f t="shared" si="8"/>
        <v/>
      </c>
      <c r="V112" t="str">
        <f t="shared" si="9"/>
        <v/>
      </c>
      <c r="W112" t="str">
        <f t="shared" si="10"/>
        <v>same</v>
      </c>
    </row>
    <row r="113" spans="1:23" x14ac:dyDescent="0.3">
      <c r="A113" t="s">
        <v>282</v>
      </c>
      <c r="B113" s="1">
        <v>46272.606930300928</v>
      </c>
      <c r="C113" t="s">
        <v>231</v>
      </c>
      <c r="D113" t="s">
        <v>19</v>
      </c>
      <c r="E113" t="s">
        <v>64</v>
      </c>
      <c r="F113" t="s">
        <v>34</v>
      </c>
      <c r="G113" t="s">
        <v>22</v>
      </c>
      <c r="H113" t="s">
        <v>35</v>
      </c>
      <c r="I113" t="s">
        <v>232</v>
      </c>
      <c r="J113">
        <v>103</v>
      </c>
      <c r="K113" t="s">
        <v>283</v>
      </c>
      <c r="L113" t="s">
        <v>234</v>
      </c>
      <c r="M113">
        <v>103</v>
      </c>
      <c r="N113" t="s">
        <v>284</v>
      </c>
      <c r="O113" t="s">
        <v>285</v>
      </c>
      <c r="P113" t="s">
        <v>29</v>
      </c>
      <c r="Q113">
        <v>34122490493</v>
      </c>
      <c r="R113" s="2" t="str">
        <f t="shared" si="11"/>
        <v>python|A1a|B1c|B2b|C1a</v>
      </c>
      <c r="S113" t="str">
        <f t="shared" si="12"/>
        <v>M</v>
      </c>
      <c r="T113" t="str">
        <f t="shared" si="7"/>
        <v>same</v>
      </c>
      <c r="U113" t="str">
        <f t="shared" si="8"/>
        <v/>
      </c>
      <c r="V113" t="str">
        <f t="shared" si="9"/>
        <v/>
      </c>
      <c r="W113" t="str">
        <f t="shared" si="10"/>
        <v>same</v>
      </c>
    </row>
    <row r="114" spans="1:23" x14ac:dyDescent="0.3">
      <c r="A114" t="s">
        <v>286</v>
      </c>
      <c r="B114" s="1">
        <v>46272.607657499997</v>
      </c>
      <c r="C114" t="s">
        <v>231</v>
      </c>
      <c r="D114" t="s">
        <v>19</v>
      </c>
      <c r="E114" t="s">
        <v>64</v>
      </c>
      <c r="F114" t="s">
        <v>34</v>
      </c>
      <c r="G114" t="s">
        <v>238</v>
      </c>
      <c r="H114" t="s">
        <v>35</v>
      </c>
      <c r="I114" t="s">
        <v>232</v>
      </c>
      <c r="J114">
        <v>103</v>
      </c>
      <c r="K114" t="s">
        <v>283</v>
      </c>
      <c r="L114" t="s">
        <v>234</v>
      </c>
      <c r="M114">
        <v>103</v>
      </c>
      <c r="N114" t="s">
        <v>284</v>
      </c>
      <c r="O114" t="s">
        <v>287</v>
      </c>
      <c r="P114" t="s">
        <v>29</v>
      </c>
      <c r="Q114">
        <v>34122579428</v>
      </c>
      <c r="R114" s="2" t="str">
        <f t="shared" si="11"/>
        <v>python|A1a|B1c|B2b|C1b</v>
      </c>
      <c r="S114" t="str">
        <f t="shared" si="12"/>
        <v>M</v>
      </c>
      <c r="T114" t="str">
        <f t="shared" si="7"/>
        <v/>
      </c>
      <c r="U114" t="str">
        <f t="shared" si="8"/>
        <v/>
      </c>
      <c r="V114" t="str">
        <f t="shared" si="9"/>
        <v/>
      </c>
      <c r="W114" t="str">
        <f t="shared" si="10"/>
        <v>same</v>
      </c>
    </row>
    <row r="115" spans="1:23" x14ac:dyDescent="0.3">
      <c r="A115" t="s">
        <v>288</v>
      </c>
      <c r="B115" s="1">
        <v>46272.608144664351</v>
      </c>
      <c r="C115" t="s">
        <v>231</v>
      </c>
      <c r="D115" t="s">
        <v>19</v>
      </c>
      <c r="E115" t="s">
        <v>64</v>
      </c>
      <c r="F115" t="s">
        <v>34</v>
      </c>
      <c r="G115" t="s">
        <v>31</v>
      </c>
      <c r="H115" t="s">
        <v>35</v>
      </c>
      <c r="I115" t="s">
        <v>232</v>
      </c>
      <c r="J115">
        <v>103</v>
      </c>
      <c r="K115" t="s">
        <v>283</v>
      </c>
      <c r="L115" t="s">
        <v>234</v>
      </c>
      <c r="M115">
        <v>103</v>
      </c>
      <c r="N115" t="s">
        <v>284</v>
      </c>
      <c r="O115" t="s">
        <v>289</v>
      </c>
      <c r="P115" t="s">
        <v>29</v>
      </c>
      <c r="Q115">
        <v>34122680606</v>
      </c>
      <c r="R115" s="2" t="str">
        <f t="shared" si="11"/>
        <v>python|A1a|B1c|B2b|C1c</v>
      </c>
      <c r="S115" t="str">
        <f t="shared" si="12"/>
        <v>M</v>
      </c>
      <c r="T115" t="str">
        <f t="shared" si="7"/>
        <v/>
      </c>
      <c r="U115" t="str">
        <f t="shared" si="8"/>
        <v/>
      </c>
      <c r="V115" t="str">
        <f t="shared" si="9"/>
        <v/>
      </c>
      <c r="W115" t="str">
        <f t="shared" si="10"/>
        <v>same</v>
      </c>
    </row>
    <row r="116" spans="1:23" x14ac:dyDescent="0.3">
      <c r="A116" t="s">
        <v>290</v>
      </c>
      <c r="B116" s="1">
        <v>46272.608627037036</v>
      </c>
      <c r="C116" t="s">
        <v>231</v>
      </c>
      <c r="D116" t="s">
        <v>19</v>
      </c>
      <c r="E116" t="s">
        <v>64</v>
      </c>
      <c r="F116" t="s">
        <v>42</v>
      </c>
      <c r="G116" t="s">
        <v>22</v>
      </c>
      <c r="H116" t="s">
        <v>35</v>
      </c>
      <c r="I116" t="s">
        <v>232</v>
      </c>
      <c r="J116">
        <v>103</v>
      </c>
      <c r="K116" t="s">
        <v>283</v>
      </c>
      <c r="L116" t="s">
        <v>234</v>
      </c>
      <c r="M116">
        <v>103</v>
      </c>
      <c r="N116" t="s">
        <v>284</v>
      </c>
      <c r="O116" t="s">
        <v>291</v>
      </c>
      <c r="P116" t="s">
        <v>29</v>
      </c>
      <c r="Q116">
        <v>34122745968</v>
      </c>
      <c r="R116" s="2" t="str">
        <f t="shared" si="11"/>
        <v>python|A1a|B1c|B2c|C1a</v>
      </c>
      <c r="S116" t="str">
        <f t="shared" si="12"/>
        <v>M</v>
      </c>
      <c r="T116" t="str">
        <f t="shared" si="7"/>
        <v>same</v>
      </c>
      <c r="U116" t="str">
        <f t="shared" si="8"/>
        <v/>
      </c>
      <c r="V116" t="str">
        <f t="shared" si="9"/>
        <v/>
      </c>
      <c r="W116" t="str">
        <f t="shared" si="10"/>
        <v>same</v>
      </c>
    </row>
    <row r="117" spans="1:23" x14ac:dyDescent="0.3">
      <c r="A117" t="s">
        <v>292</v>
      </c>
      <c r="B117" s="1">
        <v>46272.609328877312</v>
      </c>
      <c r="C117" t="s">
        <v>231</v>
      </c>
      <c r="D117" t="s">
        <v>19</v>
      </c>
      <c r="E117" t="s">
        <v>64</v>
      </c>
      <c r="F117" t="s">
        <v>42</v>
      </c>
      <c r="G117" t="s">
        <v>238</v>
      </c>
      <c r="H117" t="s">
        <v>35</v>
      </c>
      <c r="I117" t="s">
        <v>232</v>
      </c>
      <c r="J117">
        <v>103</v>
      </c>
      <c r="K117" t="s">
        <v>283</v>
      </c>
      <c r="L117" t="s">
        <v>234</v>
      </c>
      <c r="M117">
        <v>103</v>
      </c>
      <c r="N117" t="s">
        <v>284</v>
      </c>
      <c r="O117" t="s">
        <v>293</v>
      </c>
      <c r="P117" t="s">
        <v>29</v>
      </c>
      <c r="Q117">
        <v>34122807814</v>
      </c>
      <c r="R117" s="2" t="str">
        <f t="shared" si="11"/>
        <v>python|A1a|B1c|B2c|C1b</v>
      </c>
      <c r="S117" t="str">
        <f t="shared" si="12"/>
        <v>M</v>
      </c>
      <c r="T117" t="str">
        <f t="shared" si="7"/>
        <v/>
      </c>
      <c r="U117" t="str">
        <f t="shared" si="8"/>
        <v/>
      </c>
      <c r="V117" t="str">
        <f t="shared" si="9"/>
        <v/>
      </c>
      <c r="W117" t="str">
        <f t="shared" si="10"/>
        <v>same</v>
      </c>
    </row>
    <row r="118" spans="1:23" x14ac:dyDescent="0.3">
      <c r="A118" t="s">
        <v>294</v>
      </c>
      <c r="B118" s="1">
        <v>46272.609877268522</v>
      </c>
      <c r="C118" t="s">
        <v>231</v>
      </c>
      <c r="D118" t="s">
        <v>19</v>
      </c>
      <c r="E118" t="s">
        <v>64</v>
      </c>
      <c r="F118" t="s">
        <v>42</v>
      </c>
      <c r="G118" t="s">
        <v>31</v>
      </c>
      <c r="H118" t="s">
        <v>35</v>
      </c>
      <c r="I118" t="s">
        <v>232</v>
      </c>
      <c r="J118">
        <v>103</v>
      </c>
      <c r="K118" t="s">
        <v>283</v>
      </c>
      <c r="L118" t="s">
        <v>234</v>
      </c>
      <c r="M118">
        <v>103</v>
      </c>
      <c r="N118" t="s">
        <v>284</v>
      </c>
      <c r="O118" t="s">
        <v>295</v>
      </c>
      <c r="P118" t="s">
        <v>29</v>
      </c>
      <c r="Q118">
        <v>34122897223</v>
      </c>
      <c r="R118" s="2" t="str">
        <f t="shared" si="11"/>
        <v>python|A1a|B1c|B2c|C1c</v>
      </c>
      <c r="S118" t="str">
        <f t="shared" si="12"/>
        <v>M</v>
      </c>
      <c r="T118" t="str">
        <f t="shared" si="7"/>
        <v/>
      </c>
      <c r="U118" t="str">
        <f t="shared" si="8"/>
        <v/>
      </c>
      <c r="V118" t="str">
        <f t="shared" si="9"/>
        <v/>
      </c>
      <c r="W118" t="str">
        <f t="shared" si="10"/>
        <v>same</v>
      </c>
    </row>
    <row r="119" spans="1:23" x14ac:dyDescent="0.3">
      <c r="A119" t="s">
        <v>296</v>
      </c>
      <c r="B119" s="1">
        <v>46272.61039386574</v>
      </c>
      <c r="C119" t="s">
        <v>231</v>
      </c>
      <c r="D119" t="s">
        <v>19</v>
      </c>
      <c r="E119" t="s">
        <v>79</v>
      </c>
      <c r="F119" t="s">
        <v>21</v>
      </c>
      <c r="G119" t="s">
        <v>22</v>
      </c>
      <c r="H119" t="s">
        <v>48</v>
      </c>
      <c r="I119" t="s">
        <v>49</v>
      </c>
      <c r="K119" t="s">
        <v>49</v>
      </c>
      <c r="L119" t="s">
        <v>49</v>
      </c>
      <c r="N119" t="s">
        <v>49</v>
      </c>
      <c r="O119" t="s">
        <v>297</v>
      </c>
      <c r="P119" t="s">
        <v>29</v>
      </c>
      <c r="Q119">
        <v>34122969054</v>
      </c>
      <c r="R119" s="2" t="str">
        <f t="shared" si="11"/>
        <v>python|A1a|B1d|B2a|C1a</v>
      </c>
      <c r="S119" t="str">
        <f t="shared" si="12"/>
        <v>E</v>
      </c>
      <c r="T119" t="str">
        <f t="shared" si="7"/>
        <v>same</v>
      </c>
      <c r="U119" t="str">
        <f t="shared" si="8"/>
        <v/>
      </c>
      <c r="V119" t="str">
        <f t="shared" si="9"/>
        <v/>
      </c>
      <c r="W119" t="str">
        <f t="shared" si="10"/>
        <v>same</v>
      </c>
    </row>
    <row r="120" spans="1:23" x14ac:dyDescent="0.3">
      <c r="A120" t="s">
        <v>298</v>
      </c>
      <c r="B120" s="1">
        <v>46272.610917430553</v>
      </c>
      <c r="C120" t="s">
        <v>231</v>
      </c>
      <c r="D120" t="s">
        <v>19</v>
      </c>
      <c r="E120" t="s">
        <v>79</v>
      </c>
      <c r="F120" t="s">
        <v>21</v>
      </c>
      <c r="G120" t="s">
        <v>238</v>
      </c>
      <c r="H120" t="s">
        <v>48</v>
      </c>
      <c r="I120" t="s">
        <v>49</v>
      </c>
      <c r="K120" t="s">
        <v>49</v>
      </c>
      <c r="L120" t="s">
        <v>49</v>
      </c>
      <c r="N120" t="s">
        <v>49</v>
      </c>
      <c r="O120" t="s">
        <v>299</v>
      </c>
      <c r="P120" t="s">
        <v>29</v>
      </c>
      <c r="Q120">
        <v>34123031113</v>
      </c>
      <c r="R120" s="2" t="str">
        <f t="shared" si="11"/>
        <v>python|A1a|B1d|B2a|C1b</v>
      </c>
      <c r="S120" t="str">
        <f t="shared" si="12"/>
        <v>E</v>
      </c>
      <c r="T120" t="str">
        <f t="shared" si="7"/>
        <v/>
      </c>
      <c r="U120" t="str">
        <f t="shared" si="8"/>
        <v/>
      </c>
      <c r="V120" t="str">
        <f t="shared" si="9"/>
        <v/>
      </c>
      <c r="W120" t="str">
        <f t="shared" si="10"/>
        <v>same</v>
      </c>
    </row>
    <row r="121" spans="1:23" x14ac:dyDescent="0.3">
      <c r="A121" t="s">
        <v>300</v>
      </c>
      <c r="B121" s="1">
        <v>46272.611430625002</v>
      </c>
      <c r="C121" t="s">
        <v>231</v>
      </c>
      <c r="D121" t="s">
        <v>19</v>
      </c>
      <c r="E121" t="s">
        <v>79</v>
      </c>
      <c r="F121" t="s">
        <v>21</v>
      </c>
      <c r="G121" t="s">
        <v>31</v>
      </c>
      <c r="H121" t="s">
        <v>48</v>
      </c>
      <c r="I121" t="s">
        <v>49</v>
      </c>
      <c r="K121" t="s">
        <v>49</v>
      </c>
      <c r="L121" t="s">
        <v>49</v>
      </c>
      <c r="N121" t="s">
        <v>49</v>
      </c>
      <c r="O121" t="s">
        <v>301</v>
      </c>
      <c r="P121" t="s">
        <v>29</v>
      </c>
      <c r="Q121">
        <v>34123096827</v>
      </c>
      <c r="R121" s="2" t="str">
        <f t="shared" si="11"/>
        <v>python|A1a|B1d|B2a|C1c</v>
      </c>
      <c r="S121" t="str">
        <f t="shared" si="12"/>
        <v>E</v>
      </c>
      <c r="T121" t="str">
        <f t="shared" si="7"/>
        <v/>
      </c>
      <c r="U121" t="str">
        <f t="shared" si="8"/>
        <v/>
      </c>
      <c r="V121" t="str">
        <f t="shared" si="9"/>
        <v/>
      </c>
      <c r="W121" t="str">
        <f t="shared" si="10"/>
        <v>same</v>
      </c>
    </row>
    <row r="122" spans="1:23" x14ac:dyDescent="0.3">
      <c r="A122" t="s">
        <v>302</v>
      </c>
      <c r="B122" s="1">
        <v>46272.611933483793</v>
      </c>
      <c r="C122" t="s">
        <v>231</v>
      </c>
      <c r="D122" t="s">
        <v>19</v>
      </c>
      <c r="E122" t="s">
        <v>79</v>
      </c>
      <c r="F122" t="s">
        <v>34</v>
      </c>
      <c r="G122" t="s">
        <v>22</v>
      </c>
      <c r="H122" t="s">
        <v>35</v>
      </c>
      <c r="I122" t="s">
        <v>232</v>
      </c>
      <c r="J122">
        <v>103</v>
      </c>
      <c r="K122" t="s">
        <v>263</v>
      </c>
      <c r="L122" t="s">
        <v>234</v>
      </c>
      <c r="M122">
        <v>103</v>
      </c>
      <c r="N122" t="s">
        <v>264</v>
      </c>
      <c r="O122" t="s">
        <v>303</v>
      </c>
      <c r="P122" t="s">
        <v>29</v>
      </c>
      <c r="Q122">
        <v>34123168930</v>
      </c>
      <c r="R122" s="2" t="str">
        <f t="shared" si="11"/>
        <v>python|A1a|B1d|B2b|C1a</v>
      </c>
      <c r="S122" t="str">
        <f t="shared" si="12"/>
        <v>M</v>
      </c>
      <c r="T122" t="str">
        <f t="shared" si="7"/>
        <v>same</v>
      </c>
      <c r="U122" t="str">
        <f t="shared" si="8"/>
        <v/>
      </c>
      <c r="V122" t="str">
        <f t="shared" si="9"/>
        <v/>
      </c>
      <c r="W122" t="str">
        <f t="shared" si="10"/>
        <v>same</v>
      </c>
    </row>
    <row r="123" spans="1:23" x14ac:dyDescent="0.3">
      <c r="A123" t="s">
        <v>304</v>
      </c>
      <c r="B123" s="1">
        <v>46272.612439756944</v>
      </c>
      <c r="C123" t="s">
        <v>231</v>
      </c>
      <c r="D123" t="s">
        <v>19</v>
      </c>
      <c r="E123" t="s">
        <v>79</v>
      </c>
      <c r="F123" t="s">
        <v>34</v>
      </c>
      <c r="G123" t="s">
        <v>238</v>
      </c>
      <c r="H123" t="s">
        <v>48</v>
      </c>
      <c r="I123" t="s">
        <v>49</v>
      </c>
      <c r="K123" t="s">
        <v>49</v>
      </c>
      <c r="L123" t="s">
        <v>49</v>
      </c>
      <c r="N123" t="s">
        <v>49</v>
      </c>
      <c r="O123" t="s">
        <v>305</v>
      </c>
      <c r="P123" t="s">
        <v>29</v>
      </c>
      <c r="Q123">
        <v>34123233592</v>
      </c>
      <c r="R123" s="2" t="str">
        <f t="shared" si="11"/>
        <v>python|A1a|B1d|B2b|C1b</v>
      </c>
      <c r="S123" t="str">
        <f t="shared" si="12"/>
        <v>E</v>
      </c>
      <c r="T123" t="str">
        <f t="shared" si="7"/>
        <v/>
      </c>
      <c r="U123" t="str">
        <f t="shared" si="8"/>
        <v/>
      </c>
      <c r="V123" t="str">
        <f t="shared" si="9"/>
        <v/>
      </c>
      <c r="W123" t="str">
        <f t="shared" si="10"/>
        <v>same</v>
      </c>
    </row>
    <row r="124" spans="1:23" x14ac:dyDescent="0.3">
      <c r="A124" t="s">
        <v>306</v>
      </c>
      <c r="B124" s="1">
        <v>46272.612998425924</v>
      </c>
      <c r="C124" t="s">
        <v>231</v>
      </c>
      <c r="D124" t="s">
        <v>19</v>
      </c>
      <c r="E124" t="s">
        <v>79</v>
      </c>
      <c r="F124" t="s">
        <v>34</v>
      </c>
      <c r="G124" t="s">
        <v>31</v>
      </c>
      <c r="H124" t="s">
        <v>35</v>
      </c>
      <c r="I124" t="s">
        <v>232</v>
      </c>
      <c r="J124">
        <v>103</v>
      </c>
      <c r="K124" t="s">
        <v>263</v>
      </c>
      <c r="L124" t="s">
        <v>234</v>
      </c>
      <c r="M124">
        <v>103</v>
      </c>
      <c r="N124" t="s">
        <v>264</v>
      </c>
      <c r="O124" t="s">
        <v>307</v>
      </c>
      <c r="P124" t="s">
        <v>29</v>
      </c>
      <c r="Q124">
        <v>34123303823</v>
      </c>
      <c r="R124" s="2" t="str">
        <f t="shared" si="11"/>
        <v>python|A1a|B1d|B2b|C1c</v>
      </c>
      <c r="S124" t="str">
        <f t="shared" si="12"/>
        <v>M</v>
      </c>
      <c r="T124" t="str">
        <f t="shared" si="7"/>
        <v/>
      </c>
      <c r="U124" t="str">
        <f t="shared" si="8"/>
        <v/>
      </c>
      <c r="V124" t="str">
        <f t="shared" si="9"/>
        <v/>
      </c>
      <c r="W124" t="str">
        <f t="shared" si="10"/>
        <v>same</v>
      </c>
    </row>
    <row r="125" spans="1:23" x14ac:dyDescent="0.3">
      <c r="A125" t="s">
        <v>308</v>
      </c>
      <c r="B125" s="1">
        <v>46272.613515092591</v>
      </c>
      <c r="C125" t="s">
        <v>231</v>
      </c>
      <c r="D125" t="s">
        <v>19</v>
      </c>
      <c r="E125" t="s">
        <v>79</v>
      </c>
      <c r="F125" t="s">
        <v>42</v>
      </c>
      <c r="G125" t="s">
        <v>22</v>
      </c>
      <c r="H125" t="s">
        <v>35</v>
      </c>
      <c r="I125" t="s">
        <v>232</v>
      </c>
      <c r="J125">
        <v>103</v>
      </c>
      <c r="K125" t="s">
        <v>263</v>
      </c>
      <c r="L125" t="s">
        <v>234</v>
      </c>
      <c r="M125">
        <v>103</v>
      </c>
      <c r="N125" t="s">
        <v>264</v>
      </c>
      <c r="O125" t="s">
        <v>309</v>
      </c>
      <c r="P125" t="s">
        <v>29</v>
      </c>
      <c r="Q125">
        <v>34123376416</v>
      </c>
      <c r="R125" s="2" t="str">
        <f t="shared" si="11"/>
        <v>python|A1a|B1d|B2c|C1a</v>
      </c>
      <c r="S125" t="str">
        <f t="shared" si="12"/>
        <v>M</v>
      </c>
      <c r="T125" t="str">
        <f t="shared" si="7"/>
        <v>same</v>
      </c>
      <c r="U125" t="str">
        <f t="shared" si="8"/>
        <v/>
      </c>
      <c r="V125" t="str">
        <f t="shared" si="9"/>
        <v/>
      </c>
      <c r="W125" t="str">
        <f t="shared" si="10"/>
        <v>same</v>
      </c>
    </row>
    <row r="126" spans="1:23" x14ac:dyDescent="0.3">
      <c r="A126" t="s">
        <v>310</v>
      </c>
      <c r="B126" s="1">
        <v>46272.6140231713</v>
      </c>
      <c r="C126" t="s">
        <v>231</v>
      </c>
      <c r="D126" t="s">
        <v>19</v>
      </c>
      <c r="E126" t="s">
        <v>79</v>
      </c>
      <c r="F126" t="s">
        <v>42</v>
      </c>
      <c r="G126" t="s">
        <v>238</v>
      </c>
      <c r="H126" t="s">
        <v>48</v>
      </c>
      <c r="I126" t="s">
        <v>49</v>
      </c>
      <c r="K126" t="s">
        <v>49</v>
      </c>
      <c r="L126" t="s">
        <v>49</v>
      </c>
      <c r="N126" t="s">
        <v>49</v>
      </c>
      <c r="O126" t="s">
        <v>311</v>
      </c>
      <c r="P126" t="s">
        <v>29</v>
      </c>
      <c r="Q126">
        <v>34123442059</v>
      </c>
      <c r="R126" s="2" t="str">
        <f t="shared" si="11"/>
        <v>python|A1a|B1d|B2c|C1b</v>
      </c>
      <c r="S126" t="str">
        <f t="shared" si="12"/>
        <v>E</v>
      </c>
      <c r="T126" t="str">
        <f t="shared" si="7"/>
        <v/>
      </c>
      <c r="U126" t="str">
        <f t="shared" si="8"/>
        <v/>
      </c>
      <c r="V126" t="str">
        <f t="shared" si="9"/>
        <v/>
      </c>
      <c r="W126" t="str">
        <f t="shared" si="10"/>
        <v>same</v>
      </c>
    </row>
    <row r="127" spans="1:23" x14ac:dyDescent="0.3">
      <c r="A127" t="s">
        <v>312</v>
      </c>
      <c r="B127" s="1">
        <v>46272.614597824075</v>
      </c>
      <c r="C127" t="s">
        <v>231</v>
      </c>
      <c r="D127" t="s">
        <v>19</v>
      </c>
      <c r="E127" t="s">
        <v>79</v>
      </c>
      <c r="F127" t="s">
        <v>42</v>
      </c>
      <c r="G127" t="s">
        <v>31</v>
      </c>
      <c r="H127" t="s">
        <v>35</v>
      </c>
      <c r="I127" t="s">
        <v>232</v>
      </c>
      <c r="J127">
        <v>103</v>
      </c>
      <c r="K127" t="s">
        <v>263</v>
      </c>
      <c r="L127" t="s">
        <v>234</v>
      </c>
      <c r="M127">
        <v>103</v>
      </c>
      <c r="N127" t="s">
        <v>264</v>
      </c>
      <c r="O127" t="s">
        <v>313</v>
      </c>
      <c r="P127" t="s">
        <v>29</v>
      </c>
      <c r="Q127">
        <v>34123512194</v>
      </c>
      <c r="R127" s="2" t="str">
        <f t="shared" si="11"/>
        <v>python|A1a|B1d|B2c|C1c</v>
      </c>
      <c r="S127" t="str">
        <f t="shared" si="12"/>
        <v>M</v>
      </c>
      <c r="T127" t="str">
        <f t="shared" si="7"/>
        <v/>
      </c>
      <c r="U127" t="str">
        <f t="shared" si="8"/>
        <v/>
      </c>
      <c r="V127" t="str">
        <f t="shared" si="9"/>
        <v/>
      </c>
      <c r="W127" t="str">
        <f t="shared" si="10"/>
        <v>same</v>
      </c>
    </row>
    <row r="128" spans="1:23" x14ac:dyDescent="0.3">
      <c r="A128" t="s">
        <v>314</v>
      </c>
      <c r="B128" s="1">
        <v>46272.615218842591</v>
      </c>
      <c r="C128" t="s">
        <v>231</v>
      </c>
      <c r="D128" t="s">
        <v>92</v>
      </c>
      <c r="E128" t="s">
        <v>20</v>
      </c>
      <c r="F128" t="s">
        <v>21</v>
      </c>
      <c r="G128" t="s">
        <v>22</v>
      </c>
      <c r="H128" t="s">
        <v>23</v>
      </c>
      <c r="I128" t="s">
        <v>232</v>
      </c>
      <c r="J128">
        <v>100</v>
      </c>
      <c r="K128" t="s">
        <v>315</v>
      </c>
      <c r="L128" t="s">
        <v>234</v>
      </c>
      <c r="M128">
        <v>100</v>
      </c>
      <c r="N128" t="s">
        <v>316</v>
      </c>
      <c r="O128" t="s">
        <v>317</v>
      </c>
      <c r="P128" t="s">
        <v>29</v>
      </c>
      <c r="Q128">
        <v>34123590536</v>
      </c>
      <c r="R128" s="2" t="str">
        <f t="shared" si="11"/>
        <v>python|A1b|B1a|B2a|C1a</v>
      </c>
      <c r="S128" t="str">
        <f t="shared" si="12"/>
        <v>P</v>
      </c>
      <c r="T128" t="str">
        <f t="shared" si="7"/>
        <v>same</v>
      </c>
      <c r="U128" t="str">
        <f t="shared" si="8"/>
        <v/>
      </c>
      <c r="V128" t="str">
        <f t="shared" si="9"/>
        <v/>
      </c>
      <c r="W128" t="str">
        <f t="shared" si="10"/>
        <v/>
      </c>
    </row>
    <row r="129" spans="1:23" x14ac:dyDescent="0.3">
      <c r="A129" t="s">
        <v>318</v>
      </c>
      <c r="B129" s="1">
        <v>46272.61601766204</v>
      </c>
      <c r="C129" t="s">
        <v>231</v>
      </c>
      <c r="D129" t="s">
        <v>92</v>
      </c>
      <c r="E129" t="s">
        <v>20</v>
      </c>
      <c r="F129" t="s">
        <v>21</v>
      </c>
      <c r="G129" t="s">
        <v>238</v>
      </c>
      <c r="H129" t="s">
        <v>23</v>
      </c>
      <c r="I129" t="s">
        <v>232</v>
      </c>
      <c r="J129">
        <v>100</v>
      </c>
      <c r="K129" t="s">
        <v>315</v>
      </c>
      <c r="L129" t="s">
        <v>234</v>
      </c>
      <c r="M129">
        <v>100</v>
      </c>
      <c r="N129" t="s">
        <v>316</v>
      </c>
      <c r="O129" t="s">
        <v>319</v>
      </c>
      <c r="P129" t="s">
        <v>29</v>
      </c>
      <c r="Q129">
        <v>34123674516</v>
      </c>
      <c r="R129" s="2" t="str">
        <f t="shared" si="11"/>
        <v>python|A1b|B1a|B2a|C1b</v>
      </c>
      <c r="S129" t="str">
        <f t="shared" si="12"/>
        <v>P</v>
      </c>
      <c r="T129" t="str">
        <f t="shared" si="7"/>
        <v/>
      </c>
      <c r="U129" t="str">
        <f t="shared" si="8"/>
        <v/>
      </c>
      <c r="V129" t="str">
        <f t="shared" si="9"/>
        <v/>
      </c>
      <c r="W129" t="str">
        <f t="shared" si="10"/>
        <v/>
      </c>
    </row>
    <row r="130" spans="1:23" x14ac:dyDescent="0.3">
      <c r="A130" t="s">
        <v>320</v>
      </c>
      <c r="B130" s="1">
        <v>46272.61664241898</v>
      </c>
      <c r="C130" t="s">
        <v>231</v>
      </c>
      <c r="D130" t="s">
        <v>92</v>
      </c>
      <c r="E130" t="s">
        <v>20</v>
      </c>
      <c r="F130" t="s">
        <v>21</v>
      </c>
      <c r="G130" t="s">
        <v>31</v>
      </c>
      <c r="H130" t="s">
        <v>23</v>
      </c>
      <c r="I130" t="s">
        <v>232</v>
      </c>
      <c r="J130">
        <v>100</v>
      </c>
      <c r="K130" t="s">
        <v>315</v>
      </c>
      <c r="L130" t="s">
        <v>234</v>
      </c>
      <c r="M130">
        <v>100</v>
      </c>
      <c r="N130" t="s">
        <v>316</v>
      </c>
      <c r="O130" t="s">
        <v>321</v>
      </c>
      <c r="P130" t="s">
        <v>29</v>
      </c>
      <c r="Q130">
        <v>34123782223</v>
      </c>
      <c r="R130" s="2" t="str">
        <f t="shared" si="11"/>
        <v>python|A1b|B1a|B2a|C1c</v>
      </c>
      <c r="S130" t="str">
        <f t="shared" si="12"/>
        <v>P</v>
      </c>
      <c r="T130" t="str">
        <f t="shared" ref="T130:T193" si="13">IF(G130="C1a",IF(H130=VLOOKUP(SUBSTITUTE(A130,"_C1a","_C1c"),$A:$H,8,FALSE),"same","DIFF"),"")</f>
        <v/>
      </c>
      <c r="U130" t="str">
        <f t="shared" ref="U130:U193" si="14">IF(AND(C130="nodejs",E130="B1b"),IF(H130=VLOOKUP(SUBSTITUTE(A130,"_B1b_","_B1d_"),$A:$H,8,FALSE),"same","DIFF"),"")</f>
        <v/>
      </c>
      <c r="V130" t="str">
        <f t="shared" ref="V130:V193" si="15">IF(AND(C130="nodejs",E130="B1c",H130&lt;&gt;"invalid_configuration"),IF(H130=VLOOKUP(SUBSTITUTE(A130,"_B1c_","_B1b_"),$A:$H,8,FALSE),"same","DIFF"),"")</f>
        <v/>
      </c>
      <c r="W130" t="str">
        <f t="shared" ref="W130:W193" si="16">IF(D130="A1a",IF(H130=VLOOKUP(SUBSTITUTE(A130,"_A1a_","_A1b_"),$A:$H,8,FALSE),"same","DIFF"),"")</f>
        <v/>
      </c>
    </row>
    <row r="131" spans="1:23" x14ac:dyDescent="0.3">
      <c r="A131" t="s">
        <v>322</v>
      </c>
      <c r="B131" s="1">
        <v>46272.617208819443</v>
      </c>
      <c r="C131" t="s">
        <v>231</v>
      </c>
      <c r="D131" t="s">
        <v>92</v>
      </c>
      <c r="E131" t="s">
        <v>20</v>
      </c>
      <c r="F131" t="s">
        <v>34</v>
      </c>
      <c r="G131" t="s">
        <v>22</v>
      </c>
      <c r="H131" t="s">
        <v>35</v>
      </c>
      <c r="I131" t="s">
        <v>232</v>
      </c>
      <c r="J131">
        <v>103</v>
      </c>
      <c r="K131" t="s">
        <v>323</v>
      </c>
      <c r="L131" t="s">
        <v>234</v>
      </c>
      <c r="M131">
        <v>103</v>
      </c>
      <c r="N131" t="s">
        <v>324</v>
      </c>
      <c r="O131" t="s">
        <v>325</v>
      </c>
      <c r="P131" t="s">
        <v>29</v>
      </c>
      <c r="Q131">
        <v>34123862136</v>
      </c>
      <c r="R131" s="2" t="str">
        <f t="shared" ref="R131:R194" si="17">C131&amp;"|"&amp;D131&amp;"|"&amp;E131&amp;"|"&amp;F131&amp;"|"&amp;G131</f>
        <v>python|A1b|B1a|B2b|C1a</v>
      </c>
      <c r="S131" t="str">
        <f t="shared" ref="S131:S194" si="18">IF(H131="malicious_resolved","M",IF(H131="private_resolved","P",IF(H131="resolution_error","E","-")))</f>
        <v>M</v>
      </c>
      <c r="T131" t="str">
        <f t="shared" si="13"/>
        <v>same</v>
      </c>
      <c r="U131" t="str">
        <f t="shared" si="14"/>
        <v/>
      </c>
      <c r="V131" t="str">
        <f t="shared" si="15"/>
        <v/>
      </c>
      <c r="W131" t="str">
        <f t="shared" si="16"/>
        <v/>
      </c>
    </row>
    <row r="132" spans="1:23" x14ac:dyDescent="0.3">
      <c r="A132" t="s">
        <v>326</v>
      </c>
      <c r="B132" s="1">
        <v>46272.618040543981</v>
      </c>
      <c r="C132" t="s">
        <v>231</v>
      </c>
      <c r="D132" t="s">
        <v>92</v>
      </c>
      <c r="E132" t="s">
        <v>20</v>
      </c>
      <c r="F132" t="s">
        <v>34</v>
      </c>
      <c r="G132" t="s">
        <v>238</v>
      </c>
      <c r="H132" t="s">
        <v>35</v>
      </c>
      <c r="I132" t="s">
        <v>232</v>
      </c>
      <c r="J132">
        <v>103</v>
      </c>
      <c r="K132" t="s">
        <v>323</v>
      </c>
      <c r="L132" t="s">
        <v>234</v>
      </c>
      <c r="M132">
        <v>103</v>
      </c>
      <c r="N132" t="s">
        <v>324</v>
      </c>
      <c r="O132" t="s">
        <v>327</v>
      </c>
      <c r="P132" t="s">
        <v>29</v>
      </c>
      <c r="Q132">
        <v>34123935304</v>
      </c>
      <c r="R132" s="2" t="str">
        <f t="shared" si="17"/>
        <v>python|A1b|B1a|B2b|C1b</v>
      </c>
      <c r="S132" t="str">
        <f t="shared" si="18"/>
        <v>M</v>
      </c>
      <c r="T132" t="str">
        <f t="shared" si="13"/>
        <v/>
      </c>
      <c r="U132" t="str">
        <f t="shared" si="14"/>
        <v/>
      </c>
      <c r="V132" t="str">
        <f t="shared" si="15"/>
        <v/>
      </c>
      <c r="W132" t="str">
        <f t="shared" si="16"/>
        <v/>
      </c>
    </row>
    <row r="133" spans="1:23" x14ac:dyDescent="0.3">
      <c r="A133" t="s">
        <v>328</v>
      </c>
      <c r="B133" s="1">
        <v>46272.618679050924</v>
      </c>
      <c r="C133" t="s">
        <v>231</v>
      </c>
      <c r="D133" t="s">
        <v>92</v>
      </c>
      <c r="E133" t="s">
        <v>20</v>
      </c>
      <c r="F133" t="s">
        <v>34</v>
      </c>
      <c r="G133" t="s">
        <v>31</v>
      </c>
      <c r="H133" t="s">
        <v>35</v>
      </c>
      <c r="I133" t="s">
        <v>232</v>
      </c>
      <c r="J133">
        <v>103</v>
      </c>
      <c r="K133" t="s">
        <v>323</v>
      </c>
      <c r="L133" t="s">
        <v>234</v>
      </c>
      <c r="M133">
        <v>103</v>
      </c>
      <c r="N133" t="s">
        <v>324</v>
      </c>
      <c r="O133" t="s">
        <v>329</v>
      </c>
      <c r="P133" t="s">
        <v>29</v>
      </c>
      <c r="Q133">
        <v>34124046702</v>
      </c>
      <c r="R133" s="2" t="str">
        <f t="shared" si="17"/>
        <v>python|A1b|B1a|B2b|C1c</v>
      </c>
      <c r="S133" t="str">
        <f t="shared" si="18"/>
        <v>M</v>
      </c>
      <c r="T133" t="str">
        <f t="shared" si="13"/>
        <v/>
      </c>
      <c r="U133" t="str">
        <f t="shared" si="14"/>
        <v/>
      </c>
      <c r="V133" t="str">
        <f t="shared" si="15"/>
        <v/>
      </c>
      <c r="W133" t="str">
        <f t="shared" si="16"/>
        <v/>
      </c>
    </row>
    <row r="134" spans="1:23" x14ac:dyDescent="0.3">
      <c r="A134" t="s">
        <v>330</v>
      </c>
      <c r="B134" s="1">
        <v>46272.619237754632</v>
      </c>
      <c r="C134" t="s">
        <v>231</v>
      </c>
      <c r="D134" t="s">
        <v>92</v>
      </c>
      <c r="E134" t="s">
        <v>20</v>
      </c>
      <c r="F134" t="s">
        <v>42</v>
      </c>
      <c r="G134" t="s">
        <v>22</v>
      </c>
      <c r="H134" t="s">
        <v>35</v>
      </c>
      <c r="I134" t="s">
        <v>232</v>
      </c>
      <c r="J134">
        <v>103</v>
      </c>
      <c r="K134" t="s">
        <v>323</v>
      </c>
      <c r="L134" t="s">
        <v>234</v>
      </c>
      <c r="M134">
        <v>103</v>
      </c>
      <c r="N134" t="s">
        <v>324</v>
      </c>
      <c r="O134" t="s">
        <v>331</v>
      </c>
      <c r="P134" t="s">
        <v>29</v>
      </c>
      <c r="Q134">
        <v>34124130739</v>
      </c>
      <c r="R134" s="2" t="str">
        <f t="shared" si="17"/>
        <v>python|A1b|B1a|B2c|C1a</v>
      </c>
      <c r="S134" t="str">
        <f t="shared" si="18"/>
        <v>M</v>
      </c>
      <c r="T134" t="str">
        <f t="shared" si="13"/>
        <v>same</v>
      </c>
      <c r="U134" t="str">
        <f t="shared" si="14"/>
        <v/>
      </c>
      <c r="V134" t="str">
        <f t="shared" si="15"/>
        <v/>
      </c>
      <c r="W134" t="str">
        <f t="shared" si="16"/>
        <v/>
      </c>
    </row>
    <row r="135" spans="1:23" x14ac:dyDescent="0.3">
      <c r="A135" t="s">
        <v>332</v>
      </c>
      <c r="B135" s="1">
        <v>46272.619937384261</v>
      </c>
      <c r="C135" t="s">
        <v>231</v>
      </c>
      <c r="D135" t="s">
        <v>92</v>
      </c>
      <c r="E135" t="s">
        <v>20</v>
      </c>
      <c r="F135" t="s">
        <v>42</v>
      </c>
      <c r="G135" t="s">
        <v>238</v>
      </c>
      <c r="H135" t="s">
        <v>35</v>
      </c>
      <c r="I135" t="s">
        <v>232</v>
      </c>
      <c r="J135">
        <v>103</v>
      </c>
      <c r="K135" t="s">
        <v>323</v>
      </c>
      <c r="L135" t="s">
        <v>234</v>
      </c>
      <c r="M135">
        <v>103</v>
      </c>
      <c r="N135" t="s">
        <v>324</v>
      </c>
      <c r="O135" t="s">
        <v>333</v>
      </c>
      <c r="P135" t="s">
        <v>29</v>
      </c>
      <c r="Q135">
        <v>34124201761</v>
      </c>
      <c r="R135" s="2" t="str">
        <f t="shared" si="17"/>
        <v>python|A1b|B1a|B2c|C1b</v>
      </c>
      <c r="S135" t="str">
        <f t="shared" si="18"/>
        <v>M</v>
      </c>
      <c r="T135" t="str">
        <f t="shared" si="13"/>
        <v/>
      </c>
      <c r="U135" t="str">
        <f t="shared" si="14"/>
        <v/>
      </c>
      <c r="V135" t="str">
        <f t="shared" si="15"/>
        <v/>
      </c>
      <c r="W135" t="str">
        <f t="shared" si="16"/>
        <v/>
      </c>
    </row>
    <row r="136" spans="1:23" x14ac:dyDescent="0.3">
      <c r="A136" t="s">
        <v>334</v>
      </c>
      <c r="B136" s="1">
        <v>46272.620541377313</v>
      </c>
      <c r="C136" t="s">
        <v>231</v>
      </c>
      <c r="D136" t="s">
        <v>92</v>
      </c>
      <c r="E136" t="s">
        <v>20</v>
      </c>
      <c r="F136" t="s">
        <v>42</v>
      </c>
      <c r="G136" t="s">
        <v>31</v>
      </c>
      <c r="H136" t="s">
        <v>35</v>
      </c>
      <c r="I136" t="s">
        <v>232</v>
      </c>
      <c r="J136">
        <v>103</v>
      </c>
      <c r="K136" t="s">
        <v>323</v>
      </c>
      <c r="L136" t="s">
        <v>234</v>
      </c>
      <c r="M136">
        <v>103</v>
      </c>
      <c r="N136" t="s">
        <v>324</v>
      </c>
      <c r="O136" t="s">
        <v>335</v>
      </c>
      <c r="P136" t="s">
        <v>29</v>
      </c>
      <c r="Q136">
        <v>34124291942</v>
      </c>
      <c r="R136" s="2" t="str">
        <f t="shared" si="17"/>
        <v>python|A1b|B1a|B2c|C1c</v>
      </c>
      <c r="S136" t="str">
        <f t="shared" si="18"/>
        <v>M</v>
      </c>
      <c r="T136" t="str">
        <f t="shared" si="13"/>
        <v/>
      </c>
      <c r="U136" t="str">
        <f t="shared" si="14"/>
        <v/>
      </c>
      <c r="V136" t="str">
        <f t="shared" si="15"/>
        <v/>
      </c>
      <c r="W136" t="str">
        <f t="shared" si="16"/>
        <v/>
      </c>
    </row>
    <row r="137" spans="1:23" x14ac:dyDescent="0.3">
      <c r="A137" t="s">
        <v>336</v>
      </c>
      <c r="B137" s="1">
        <v>46272.621155277775</v>
      </c>
      <c r="C137" t="s">
        <v>231</v>
      </c>
      <c r="D137" t="s">
        <v>92</v>
      </c>
      <c r="E137" t="s">
        <v>47</v>
      </c>
      <c r="F137" t="s">
        <v>21</v>
      </c>
      <c r="G137" t="s">
        <v>22</v>
      </c>
      <c r="H137" t="s">
        <v>23</v>
      </c>
      <c r="I137" t="s">
        <v>232</v>
      </c>
      <c r="J137">
        <v>100</v>
      </c>
      <c r="K137" t="s">
        <v>315</v>
      </c>
      <c r="L137" t="s">
        <v>234</v>
      </c>
      <c r="M137">
        <v>100</v>
      </c>
      <c r="N137" t="s">
        <v>316</v>
      </c>
      <c r="O137" t="s">
        <v>337</v>
      </c>
      <c r="P137" t="s">
        <v>29</v>
      </c>
      <c r="Q137">
        <v>34124373551</v>
      </c>
      <c r="R137" s="2" t="str">
        <f t="shared" si="17"/>
        <v>python|A1b|B1b|B2a|C1a</v>
      </c>
      <c r="S137" t="str">
        <f t="shared" si="18"/>
        <v>P</v>
      </c>
      <c r="T137" t="str">
        <f t="shared" si="13"/>
        <v>same</v>
      </c>
      <c r="U137" t="str">
        <f t="shared" si="14"/>
        <v/>
      </c>
      <c r="V137" t="str">
        <f t="shared" si="15"/>
        <v/>
      </c>
      <c r="W137" t="str">
        <f t="shared" si="16"/>
        <v/>
      </c>
    </row>
    <row r="138" spans="1:23" x14ac:dyDescent="0.3">
      <c r="A138" t="s">
        <v>338</v>
      </c>
      <c r="B138" s="1">
        <v>46272.621864305554</v>
      </c>
      <c r="C138" t="s">
        <v>231</v>
      </c>
      <c r="D138" t="s">
        <v>92</v>
      </c>
      <c r="E138" t="s">
        <v>47</v>
      </c>
      <c r="F138" t="s">
        <v>21</v>
      </c>
      <c r="G138" t="s">
        <v>238</v>
      </c>
      <c r="H138" t="s">
        <v>23</v>
      </c>
      <c r="I138" t="s">
        <v>232</v>
      </c>
      <c r="J138">
        <v>100</v>
      </c>
      <c r="K138" t="s">
        <v>315</v>
      </c>
      <c r="L138" t="s">
        <v>234</v>
      </c>
      <c r="M138">
        <v>100</v>
      </c>
      <c r="N138" t="s">
        <v>316</v>
      </c>
      <c r="O138" t="s">
        <v>339</v>
      </c>
      <c r="P138" t="s">
        <v>29</v>
      </c>
      <c r="Q138">
        <v>34124453375</v>
      </c>
      <c r="R138" s="2" t="str">
        <f t="shared" si="17"/>
        <v>python|A1b|B1b|B2a|C1b</v>
      </c>
      <c r="S138" t="str">
        <f t="shared" si="18"/>
        <v>P</v>
      </c>
      <c r="T138" t="str">
        <f t="shared" si="13"/>
        <v/>
      </c>
      <c r="U138" t="str">
        <f t="shared" si="14"/>
        <v/>
      </c>
      <c r="V138" t="str">
        <f t="shared" si="15"/>
        <v/>
      </c>
      <c r="W138" t="str">
        <f t="shared" si="16"/>
        <v/>
      </c>
    </row>
    <row r="139" spans="1:23" x14ac:dyDescent="0.3">
      <c r="A139" t="s">
        <v>340</v>
      </c>
      <c r="B139" s="1">
        <v>46272.622525671293</v>
      </c>
      <c r="C139" t="s">
        <v>231</v>
      </c>
      <c r="D139" t="s">
        <v>92</v>
      </c>
      <c r="E139" t="s">
        <v>47</v>
      </c>
      <c r="F139" t="s">
        <v>21</v>
      </c>
      <c r="G139" t="s">
        <v>31</v>
      </c>
      <c r="H139" t="s">
        <v>23</v>
      </c>
      <c r="I139" t="s">
        <v>232</v>
      </c>
      <c r="J139">
        <v>100</v>
      </c>
      <c r="K139" t="s">
        <v>315</v>
      </c>
      <c r="L139" t="s">
        <v>234</v>
      </c>
      <c r="M139">
        <v>100</v>
      </c>
      <c r="N139" t="s">
        <v>316</v>
      </c>
      <c r="O139" t="s">
        <v>341</v>
      </c>
      <c r="P139" t="s">
        <v>29</v>
      </c>
      <c r="Q139">
        <v>34124548942</v>
      </c>
      <c r="R139" s="2" t="str">
        <f t="shared" si="17"/>
        <v>python|A1b|B1b|B2a|C1c</v>
      </c>
      <c r="S139" t="str">
        <f t="shared" si="18"/>
        <v>P</v>
      </c>
      <c r="T139" t="str">
        <f t="shared" si="13"/>
        <v/>
      </c>
      <c r="U139" t="str">
        <f t="shared" si="14"/>
        <v/>
      </c>
      <c r="V139" t="str">
        <f t="shared" si="15"/>
        <v/>
      </c>
      <c r="W139" t="str">
        <f t="shared" si="16"/>
        <v/>
      </c>
    </row>
    <row r="140" spans="1:23" x14ac:dyDescent="0.3">
      <c r="A140" t="s">
        <v>342</v>
      </c>
      <c r="B140" s="1">
        <v>46272.623141064818</v>
      </c>
      <c r="C140" t="s">
        <v>231</v>
      </c>
      <c r="D140" t="s">
        <v>92</v>
      </c>
      <c r="E140" t="s">
        <v>47</v>
      </c>
      <c r="F140" t="s">
        <v>34</v>
      </c>
      <c r="G140" t="s">
        <v>22</v>
      </c>
      <c r="H140" t="s">
        <v>35</v>
      </c>
      <c r="I140" t="s">
        <v>232</v>
      </c>
      <c r="J140">
        <v>103</v>
      </c>
      <c r="K140" t="s">
        <v>263</v>
      </c>
      <c r="L140" t="s">
        <v>234</v>
      </c>
      <c r="M140">
        <v>103</v>
      </c>
      <c r="N140" t="s">
        <v>264</v>
      </c>
      <c r="O140" t="s">
        <v>343</v>
      </c>
      <c r="P140" t="s">
        <v>29</v>
      </c>
      <c r="Q140">
        <v>34124635518</v>
      </c>
      <c r="R140" s="2" t="str">
        <f t="shared" si="17"/>
        <v>python|A1b|B1b|B2b|C1a</v>
      </c>
      <c r="S140" t="str">
        <f t="shared" si="18"/>
        <v>M</v>
      </c>
      <c r="T140" t="str">
        <f t="shared" si="13"/>
        <v>same</v>
      </c>
      <c r="U140" t="str">
        <f t="shared" si="14"/>
        <v/>
      </c>
      <c r="V140" t="str">
        <f t="shared" si="15"/>
        <v/>
      </c>
      <c r="W140" t="str">
        <f t="shared" si="16"/>
        <v/>
      </c>
    </row>
    <row r="141" spans="1:23" x14ac:dyDescent="0.3">
      <c r="A141" t="s">
        <v>344</v>
      </c>
      <c r="B141" s="1">
        <v>46272.623842152774</v>
      </c>
      <c r="C141" t="s">
        <v>231</v>
      </c>
      <c r="D141" t="s">
        <v>92</v>
      </c>
      <c r="E141" t="s">
        <v>47</v>
      </c>
      <c r="F141" t="s">
        <v>34</v>
      </c>
      <c r="G141" t="s">
        <v>238</v>
      </c>
      <c r="H141" t="s">
        <v>35</v>
      </c>
      <c r="I141" t="s">
        <v>232</v>
      </c>
      <c r="J141">
        <v>103</v>
      </c>
      <c r="K141" t="s">
        <v>263</v>
      </c>
      <c r="L141" t="s">
        <v>234</v>
      </c>
      <c r="M141">
        <v>103</v>
      </c>
      <c r="N141" t="s">
        <v>264</v>
      </c>
      <c r="O141" t="s">
        <v>345</v>
      </c>
      <c r="P141" t="s">
        <v>29</v>
      </c>
      <c r="Q141">
        <v>34124713082</v>
      </c>
      <c r="R141" s="2" t="str">
        <f t="shared" si="17"/>
        <v>python|A1b|B1b|B2b|C1b</v>
      </c>
      <c r="S141" t="str">
        <f t="shared" si="18"/>
        <v>M</v>
      </c>
      <c r="T141" t="str">
        <f t="shared" si="13"/>
        <v/>
      </c>
      <c r="U141" t="str">
        <f t="shared" si="14"/>
        <v/>
      </c>
      <c r="V141" t="str">
        <f t="shared" si="15"/>
        <v/>
      </c>
      <c r="W141" t="str">
        <f t="shared" si="16"/>
        <v/>
      </c>
    </row>
    <row r="142" spans="1:23" x14ac:dyDescent="0.3">
      <c r="A142" t="s">
        <v>346</v>
      </c>
      <c r="B142" s="1">
        <v>46272.624449537034</v>
      </c>
      <c r="C142" t="s">
        <v>231</v>
      </c>
      <c r="D142" t="s">
        <v>92</v>
      </c>
      <c r="E142" t="s">
        <v>47</v>
      </c>
      <c r="F142" t="s">
        <v>34</v>
      </c>
      <c r="G142" t="s">
        <v>31</v>
      </c>
      <c r="H142" t="s">
        <v>35</v>
      </c>
      <c r="I142" t="s">
        <v>232</v>
      </c>
      <c r="J142">
        <v>103</v>
      </c>
      <c r="K142" t="s">
        <v>263</v>
      </c>
      <c r="L142" t="s">
        <v>234</v>
      </c>
      <c r="M142">
        <v>103</v>
      </c>
      <c r="N142" t="s">
        <v>264</v>
      </c>
      <c r="O142" t="s">
        <v>347</v>
      </c>
      <c r="P142" t="s">
        <v>29</v>
      </c>
      <c r="Q142">
        <v>34124800637</v>
      </c>
      <c r="R142" s="2" t="str">
        <f t="shared" si="17"/>
        <v>python|A1b|B1b|B2b|C1c</v>
      </c>
      <c r="S142" t="str">
        <f t="shared" si="18"/>
        <v>M</v>
      </c>
      <c r="T142" t="str">
        <f t="shared" si="13"/>
        <v/>
      </c>
      <c r="U142" t="str">
        <f t="shared" si="14"/>
        <v/>
      </c>
      <c r="V142" t="str">
        <f t="shared" si="15"/>
        <v/>
      </c>
      <c r="W142" t="str">
        <f t="shared" si="16"/>
        <v/>
      </c>
    </row>
    <row r="143" spans="1:23" x14ac:dyDescent="0.3">
      <c r="A143" t="s">
        <v>348</v>
      </c>
      <c r="B143" s="1">
        <v>46272.624905358796</v>
      </c>
      <c r="C143" t="s">
        <v>231</v>
      </c>
      <c r="D143" t="s">
        <v>92</v>
      </c>
      <c r="E143" t="s">
        <v>47</v>
      </c>
      <c r="F143" t="s">
        <v>42</v>
      </c>
      <c r="G143" t="s">
        <v>22</v>
      </c>
      <c r="H143" t="s">
        <v>35</v>
      </c>
      <c r="I143" t="s">
        <v>232</v>
      </c>
      <c r="J143">
        <v>103</v>
      </c>
      <c r="K143" t="s">
        <v>263</v>
      </c>
      <c r="L143" t="s">
        <v>234</v>
      </c>
      <c r="M143">
        <v>103</v>
      </c>
      <c r="N143" t="s">
        <v>264</v>
      </c>
      <c r="O143" t="s">
        <v>349</v>
      </c>
      <c r="P143" t="s">
        <v>29</v>
      </c>
      <c r="Q143">
        <v>34124874711</v>
      </c>
      <c r="R143" s="2" t="str">
        <f t="shared" si="17"/>
        <v>python|A1b|B1b|B2c|C1a</v>
      </c>
      <c r="S143" t="str">
        <f t="shared" si="18"/>
        <v>M</v>
      </c>
      <c r="T143" t="str">
        <f t="shared" si="13"/>
        <v>same</v>
      </c>
      <c r="U143" t="str">
        <f t="shared" si="14"/>
        <v/>
      </c>
      <c r="V143" t="str">
        <f t="shared" si="15"/>
        <v/>
      </c>
      <c r="W143" t="str">
        <f t="shared" si="16"/>
        <v/>
      </c>
    </row>
    <row r="144" spans="1:23" x14ac:dyDescent="0.3">
      <c r="A144" t="s">
        <v>350</v>
      </c>
      <c r="B144" s="1">
        <v>46272.625665127314</v>
      </c>
      <c r="C144" t="s">
        <v>231</v>
      </c>
      <c r="D144" t="s">
        <v>92</v>
      </c>
      <c r="E144" t="s">
        <v>47</v>
      </c>
      <c r="F144" t="s">
        <v>42</v>
      </c>
      <c r="G144" t="s">
        <v>238</v>
      </c>
      <c r="H144" t="s">
        <v>35</v>
      </c>
      <c r="I144" t="s">
        <v>232</v>
      </c>
      <c r="J144">
        <v>103</v>
      </c>
      <c r="K144" t="s">
        <v>263</v>
      </c>
      <c r="L144" t="s">
        <v>234</v>
      </c>
      <c r="M144">
        <v>103</v>
      </c>
      <c r="N144" t="s">
        <v>264</v>
      </c>
      <c r="O144" t="s">
        <v>351</v>
      </c>
      <c r="P144" t="s">
        <v>29</v>
      </c>
      <c r="Q144">
        <v>34124932757</v>
      </c>
      <c r="R144" s="2" t="str">
        <f t="shared" si="17"/>
        <v>python|A1b|B1b|B2c|C1b</v>
      </c>
      <c r="S144" t="str">
        <f t="shared" si="18"/>
        <v>M</v>
      </c>
      <c r="T144" t="str">
        <f t="shared" si="13"/>
        <v/>
      </c>
      <c r="U144" t="str">
        <f t="shared" si="14"/>
        <v/>
      </c>
      <c r="V144" t="str">
        <f t="shared" si="15"/>
        <v/>
      </c>
      <c r="W144" t="str">
        <f t="shared" si="16"/>
        <v/>
      </c>
    </row>
    <row r="145" spans="1:23" x14ac:dyDescent="0.3">
      <c r="A145" t="s">
        <v>352</v>
      </c>
      <c r="B145" s="1">
        <v>46272.626275972223</v>
      </c>
      <c r="C145" t="s">
        <v>231</v>
      </c>
      <c r="D145" t="s">
        <v>92</v>
      </c>
      <c r="E145" t="s">
        <v>47</v>
      </c>
      <c r="F145" t="s">
        <v>42</v>
      </c>
      <c r="G145" t="s">
        <v>31</v>
      </c>
      <c r="H145" t="s">
        <v>35</v>
      </c>
      <c r="I145" t="s">
        <v>232</v>
      </c>
      <c r="J145">
        <v>103</v>
      </c>
      <c r="K145" t="s">
        <v>263</v>
      </c>
      <c r="L145" t="s">
        <v>234</v>
      </c>
      <c r="M145">
        <v>103</v>
      </c>
      <c r="N145" t="s">
        <v>264</v>
      </c>
      <c r="O145" t="s">
        <v>353</v>
      </c>
      <c r="P145" t="s">
        <v>29</v>
      </c>
      <c r="Q145">
        <v>34125041258</v>
      </c>
      <c r="R145" s="2" t="str">
        <f t="shared" si="17"/>
        <v>python|A1b|B1b|B2c|C1c</v>
      </c>
      <c r="S145" t="str">
        <f t="shared" si="18"/>
        <v>M</v>
      </c>
      <c r="T145" t="str">
        <f t="shared" si="13"/>
        <v/>
      </c>
      <c r="U145" t="str">
        <f t="shared" si="14"/>
        <v/>
      </c>
      <c r="V145" t="str">
        <f t="shared" si="15"/>
        <v/>
      </c>
      <c r="W145" t="str">
        <f t="shared" si="16"/>
        <v/>
      </c>
    </row>
    <row r="146" spans="1:23" x14ac:dyDescent="0.3">
      <c r="A146" t="s">
        <v>354</v>
      </c>
      <c r="B146" s="1">
        <v>46272.626978622684</v>
      </c>
      <c r="C146" t="s">
        <v>231</v>
      </c>
      <c r="D146" t="s">
        <v>92</v>
      </c>
      <c r="E146" t="s">
        <v>64</v>
      </c>
      <c r="F146" t="s">
        <v>21</v>
      </c>
      <c r="G146" t="s">
        <v>22</v>
      </c>
      <c r="H146" t="s">
        <v>23</v>
      </c>
      <c r="I146" t="s">
        <v>232</v>
      </c>
      <c r="J146">
        <v>100</v>
      </c>
      <c r="K146" t="s">
        <v>315</v>
      </c>
      <c r="L146" t="s">
        <v>234</v>
      </c>
      <c r="M146">
        <v>100</v>
      </c>
      <c r="N146" t="s">
        <v>316</v>
      </c>
      <c r="O146" t="s">
        <v>355</v>
      </c>
      <c r="P146" t="s">
        <v>29</v>
      </c>
      <c r="Q146">
        <v>34125116065</v>
      </c>
      <c r="R146" s="2" t="str">
        <f t="shared" si="17"/>
        <v>python|A1b|B1c|B2a|C1a</v>
      </c>
      <c r="S146" t="str">
        <f t="shared" si="18"/>
        <v>P</v>
      </c>
      <c r="T146" t="str">
        <f t="shared" si="13"/>
        <v>same</v>
      </c>
      <c r="U146" t="str">
        <f t="shared" si="14"/>
        <v/>
      </c>
      <c r="V146" t="str">
        <f t="shared" si="15"/>
        <v/>
      </c>
      <c r="W146" t="str">
        <f t="shared" si="16"/>
        <v/>
      </c>
    </row>
    <row r="147" spans="1:23" x14ac:dyDescent="0.3">
      <c r="A147" t="s">
        <v>356</v>
      </c>
      <c r="B147" s="1">
        <v>46272.627835196756</v>
      </c>
      <c r="C147" t="s">
        <v>231</v>
      </c>
      <c r="D147" t="s">
        <v>92</v>
      </c>
      <c r="E147" t="s">
        <v>64</v>
      </c>
      <c r="F147" t="s">
        <v>21</v>
      </c>
      <c r="G147" t="s">
        <v>238</v>
      </c>
      <c r="H147" t="s">
        <v>23</v>
      </c>
      <c r="I147" t="s">
        <v>232</v>
      </c>
      <c r="J147">
        <v>100</v>
      </c>
      <c r="K147" t="s">
        <v>315</v>
      </c>
      <c r="L147" t="s">
        <v>234</v>
      </c>
      <c r="M147">
        <v>100</v>
      </c>
      <c r="N147" t="s">
        <v>316</v>
      </c>
      <c r="O147" t="s">
        <v>357</v>
      </c>
      <c r="P147" t="s">
        <v>29</v>
      </c>
      <c r="Q147">
        <v>34125208162</v>
      </c>
      <c r="R147" s="2" t="str">
        <f t="shared" si="17"/>
        <v>python|A1b|B1c|B2a|C1b</v>
      </c>
      <c r="S147" t="str">
        <f t="shared" si="18"/>
        <v>P</v>
      </c>
      <c r="T147" t="str">
        <f t="shared" si="13"/>
        <v/>
      </c>
      <c r="U147" t="str">
        <f t="shared" si="14"/>
        <v/>
      </c>
      <c r="V147" t="str">
        <f t="shared" si="15"/>
        <v/>
      </c>
      <c r="W147" t="str">
        <f t="shared" si="16"/>
        <v/>
      </c>
    </row>
    <row r="148" spans="1:23" x14ac:dyDescent="0.3">
      <c r="A148" t="s">
        <v>358</v>
      </c>
      <c r="B148" s="1">
        <v>46272.628545127314</v>
      </c>
      <c r="C148" t="s">
        <v>231</v>
      </c>
      <c r="D148" t="s">
        <v>92</v>
      </c>
      <c r="E148" t="s">
        <v>64</v>
      </c>
      <c r="F148" t="s">
        <v>21</v>
      </c>
      <c r="G148" t="s">
        <v>31</v>
      </c>
      <c r="H148" t="s">
        <v>23</v>
      </c>
      <c r="I148" t="s">
        <v>232</v>
      </c>
      <c r="J148">
        <v>100</v>
      </c>
      <c r="K148" t="s">
        <v>315</v>
      </c>
      <c r="L148" t="s">
        <v>234</v>
      </c>
      <c r="M148">
        <v>100</v>
      </c>
      <c r="N148" t="s">
        <v>316</v>
      </c>
      <c r="O148" t="s">
        <v>359</v>
      </c>
      <c r="P148" t="s">
        <v>29</v>
      </c>
      <c r="Q148">
        <v>34125322385</v>
      </c>
      <c r="R148" s="2" t="str">
        <f t="shared" si="17"/>
        <v>python|A1b|B1c|B2a|C1c</v>
      </c>
      <c r="S148" t="str">
        <f t="shared" si="18"/>
        <v>P</v>
      </c>
      <c r="T148" t="str">
        <f t="shared" si="13"/>
        <v/>
      </c>
      <c r="U148" t="str">
        <f t="shared" si="14"/>
        <v/>
      </c>
      <c r="V148" t="str">
        <f t="shared" si="15"/>
        <v/>
      </c>
      <c r="W148" t="str">
        <f t="shared" si="16"/>
        <v/>
      </c>
    </row>
    <row r="149" spans="1:23" x14ac:dyDescent="0.3">
      <c r="A149" t="s">
        <v>360</v>
      </c>
      <c r="B149" s="1">
        <v>46272.629117997683</v>
      </c>
      <c r="C149" t="s">
        <v>231</v>
      </c>
      <c r="D149" t="s">
        <v>92</v>
      </c>
      <c r="E149" t="s">
        <v>64</v>
      </c>
      <c r="F149" t="s">
        <v>34</v>
      </c>
      <c r="G149" t="s">
        <v>22</v>
      </c>
      <c r="H149" t="s">
        <v>35</v>
      </c>
      <c r="I149" t="s">
        <v>232</v>
      </c>
      <c r="J149">
        <v>103</v>
      </c>
      <c r="K149" t="s">
        <v>283</v>
      </c>
      <c r="L149" t="s">
        <v>234</v>
      </c>
      <c r="M149">
        <v>103</v>
      </c>
      <c r="N149" t="s">
        <v>284</v>
      </c>
      <c r="O149" t="s">
        <v>361</v>
      </c>
      <c r="P149" t="s">
        <v>29</v>
      </c>
      <c r="Q149">
        <v>34125415641</v>
      </c>
      <c r="R149" s="2" t="str">
        <f t="shared" si="17"/>
        <v>python|A1b|B1c|B2b|C1a</v>
      </c>
      <c r="S149" t="str">
        <f t="shared" si="18"/>
        <v>M</v>
      </c>
      <c r="T149" t="str">
        <f t="shared" si="13"/>
        <v>same</v>
      </c>
      <c r="U149" t="str">
        <f t="shared" si="14"/>
        <v/>
      </c>
      <c r="V149" t="str">
        <f t="shared" si="15"/>
        <v/>
      </c>
      <c r="W149" t="str">
        <f t="shared" si="16"/>
        <v/>
      </c>
    </row>
    <row r="150" spans="1:23" x14ac:dyDescent="0.3">
      <c r="A150" t="s">
        <v>362</v>
      </c>
      <c r="B150" s="1">
        <v>46272.6298646875</v>
      </c>
      <c r="C150" t="s">
        <v>231</v>
      </c>
      <c r="D150" t="s">
        <v>92</v>
      </c>
      <c r="E150" t="s">
        <v>64</v>
      </c>
      <c r="F150" t="s">
        <v>34</v>
      </c>
      <c r="G150" t="s">
        <v>238</v>
      </c>
      <c r="H150" t="s">
        <v>35</v>
      </c>
      <c r="I150" t="s">
        <v>232</v>
      </c>
      <c r="J150">
        <v>103</v>
      </c>
      <c r="K150" t="s">
        <v>283</v>
      </c>
      <c r="L150" t="s">
        <v>234</v>
      </c>
      <c r="M150">
        <v>103</v>
      </c>
      <c r="N150" t="s">
        <v>284</v>
      </c>
      <c r="O150" t="s">
        <v>363</v>
      </c>
      <c r="P150" t="s">
        <v>29</v>
      </c>
      <c r="Q150">
        <v>34125490302</v>
      </c>
      <c r="R150" s="2" t="str">
        <f t="shared" si="17"/>
        <v>python|A1b|B1c|B2b|C1b</v>
      </c>
      <c r="S150" t="str">
        <f t="shared" si="18"/>
        <v>M</v>
      </c>
      <c r="T150" t="str">
        <f t="shared" si="13"/>
        <v/>
      </c>
      <c r="U150" t="str">
        <f t="shared" si="14"/>
        <v/>
      </c>
      <c r="V150" t="str">
        <f t="shared" si="15"/>
        <v/>
      </c>
      <c r="W150" t="str">
        <f t="shared" si="16"/>
        <v/>
      </c>
    </row>
    <row r="151" spans="1:23" x14ac:dyDescent="0.3">
      <c r="A151" t="s">
        <v>364</v>
      </c>
      <c r="B151" s="1">
        <v>46272.630441655092</v>
      </c>
      <c r="C151" t="s">
        <v>231</v>
      </c>
      <c r="D151" t="s">
        <v>92</v>
      </c>
      <c r="E151" t="s">
        <v>64</v>
      </c>
      <c r="F151" t="s">
        <v>34</v>
      </c>
      <c r="G151" t="s">
        <v>31</v>
      </c>
      <c r="H151" t="s">
        <v>35</v>
      </c>
      <c r="I151" t="s">
        <v>232</v>
      </c>
      <c r="J151">
        <v>103</v>
      </c>
      <c r="K151" t="s">
        <v>283</v>
      </c>
      <c r="L151" t="s">
        <v>234</v>
      </c>
      <c r="M151">
        <v>103</v>
      </c>
      <c r="N151" t="s">
        <v>284</v>
      </c>
      <c r="O151" t="s">
        <v>365</v>
      </c>
      <c r="P151" t="s">
        <v>29</v>
      </c>
      <c r="Q151">
        <v>34125587769</v>
      </c>
      <c r="R151" s="2" t="str">
        <f t="shared" si="17"/>
        <v>python|A1b|B1c|B2b|C1c</v>
      </c>
      <c r="S151" t="str">
        <f t="shared" si="18"/>
        <v>M</v>
      </c>
      <c r="T151" t="str">
        <f t="shared" si="13"/>
        <v/>
      </c>
      <c r="U151" t="str">
        <f t="shared" si="14"/>
        <v/>
      </c>
      <c r="V151" t="str">
        <f t="shared" si="15"/>
        <v/>
      </c>
      <c r="W151" t="str">
        <f t="shared" si="16"/>
        <v/>
      </c>
    </row>
    <row r="152" spans="1:23" x14ac:dyDescent="0.3">
      <c r="A152" t="s">
        <v>366</v>
      </c>
      <c r="B152" s="1">
        <v>46272.630951331019</v>
      </c>
      <c r="C152" t="s">
        <v>231</v>
      </c>
      <c r="D152" t="s">
        <v>92</v>
      </c>
      <c r="E152" t="s">
        <v>64</v>
      </c>
      <c r="F152" t="s">
        <v>42</v>
      </c>
      <c r="G152" t="s">
        <v>22</v>
      </c>
      <c r="H152" t="s">
        <v>35</v>
      </c>
      <c r="I152" t="s">
        <v>232</v>
      </c>
      <c r="J152">
        <v>103</v>
      </c>
      <c r="K152" t="s">
        <v>283</v>
      </c>
      <c r="L152" t="s">
        <v>234</v>
      </c>
      <c r="M152">
        <v>103</v>
      </c>
      <c r="N152" t="s">
        <v>284</v>
      </c>
      <c r="O152" t="s">
        <v>367</v>
      </c>
      <c r="P152" t="s">
        <v>29</v>
      </c>
      <c r="Q152">
        <v>34125665545</v>
      </c>
      <c r="R152" s="2" t="str">
        <f t="shared" si="17"/>
        <v>python|A1b|B1c|B2c|C1a</v>
      </c>
      <c r="S152" t="str">
        <f t="shared" si="18"/>
        <v>M</v>
      </c>
      <c r="T152" t="str">
        <f t="shared" si="13"/>
        <v>same</v>
      </c>
      <c r="U152" t="str">
        <f t="shared" si="14"/>
        <v/>
      </c>
      <c r="V152" t="str">
        <f t="shared" si="15"/>
        <v/>
      </c>
      <c r="W152" t="str">
        <f t="shared" si="16"/>
        <v/>
      </c>
    </row>
    <row r="153" spans="1:23" x14ac:dyDescent="0.3">
      <c r="A153" t="s">
        <v>368</v>
      </c>
      <c r="B153" s="1">
        <v>46272.63168622685</v>
      </c>
      <c r="C153" t="s">
        <v>231</v>
      </c>
      <c r="D153" t="s">
        <v>92</v>
      </c>
      <c r="E153" t="s">
        <v>64</v>
      </c>
      <c r="F153" t="s">
        <v>42</v>
      </c>
      <c r="G153" t="s">
        <v>238</v>
      </c>
      <c r="H153" t="s">
        <v>35</v>
      </c>
      <c r="I153" t="s">
        <v>232</v>
      </c>
      <c r="J153">
        <v>103</v>
      </c>
      <c r="K153" t="s">
        <v>283</v>
      </c>
      <c r="L153" t="s">
        <v>234</v>
      </c>
      <c r="M153">
        <v>103</v>
      </c>
      <c r="N153" t="s">
        <v>284</v>
      </c>
      <c r="O153" t="s">
        <v>369</v>
      </c>
      <c r="P153" t="s">
        <v>29</v>
      </c>
      <c r="Q153">
        <v>34125735585</v>
      </c>
      <c r="R153" s="2" t="str">
        <f t="shared" si="17"/>
        <v>python|A1b|B1c|B2c|C1b</v>
      </c>
      <c r="S153" t="str">
        <f t="shared" si="18"/>
        <v>M</v>
      </c>
      <c r="T153" t="str">
        <f t="shared" si="13"/>
        <v/>
      </c>
      <c r="U153" t="str">
        <f t="shared" si="14"/>
        <v/>
      </c>
      <c r="V153" t="str">
        <f t="shared" si="15"/>
        <v/>
      </c>
      <c r="W153" t="str">
        <f t="shared" si="16"/>
        <v/>
      </c>
    </row>
    <row r="154" spans="1:23" x14ac:dyDescent="0.3">
      <c r="A154" t="s">
        <v>370</v>
      </c>
      <c r="B154" s="1">
        <v>46272.632233101853</v>
      </c>
      <c r="C154" t="s">
        <v>231</v>
      </c>
      <c r="D154" t="s">
        <v>92</v>
      </c>
      <c r="E154" t="s">
        <v>64</v>
      </c>
      <c r="F154" t="s">
        <v>42</v>
      </c>
      <c r="G154" t="s">
        <v>31</v>
      </c>
      <c r="H154" t="s">
        <v>35</v>
      </c>
      <c r="I154" t="s">
        <v>232</v>
      </c>
      <c r="J154">
        <v>103</v>
      </c>
      <c r="K154" t="s">
        <v>283</v>
      </c>
      <c r="L154" t="s">
        <v>234</v>
      </c>
      <c r="M154">
        <v>103</v>
      </c>
      <c r="N154" t="s">
        <v>284</v>
      </c>
      <c r="O154" t="s">
        <v>371</v>
      </c>
      <c r="P154" t="s">
        <v>29</v>
      </c>
      <c r="Q154">
        <v>34125834947</v>
      </c>
      <c r="R154" s="2" t="str">
        <f t="shared" si="17"/>
        <v>python|A1b|B1c|B2c|C1c</v>
      </c>
      <c r="S154" t="str">
        <f t="shared" si="18"/>
        <v>M</v>
      </c>
      <c r="T154" t="str">
        <f t="shared" si="13"/>
        <v/>
      </c>
      <c r="U154" t="str">
        <f t="shared" si="14"/>
        <v/>
      </c>
      <c r="V154" t="str">
        <f t="shared" si="15"/>
        <v/>
      </c>
      <c r="W154" t="str">
        <f t="shared" si="16"/>
        <v/>
      </c>
    </row>
    <row r="155" spans="1:23" x14ac:dyDescent="0.3">
      <c r="A155" t="s">
        <v>372</v>
      </c>
      <c r="B155" s="1">
        <v>46272.632746631942</v>
      </c>
      <c r="C155" t="s">
        <v>231</v>
      </c>
      <c r="D155" t="s">
        <v>92</v>
      </c>
      <c r="E155" t="s">
        <v>79</v>
      </c>
      <c r="F155" t="s">
        <v>21</v>
      </c>
      <c r="G155" t="s">
        <v>22</v>
      </c>
      <c r="H155" t="s">
        <v>48</v>
      </c>
      <c r="I155" t="s">
        <v>49</v>
      </c>
      <c r="K155" t="s">
        <v>49</v>
      </c>
      <c r="L155" t="s">
        <v>49</v>
      </c>
      <c r="N155" t="s">
        <v>49</v>
      </c>
      <c r="O155" t="s">
        <v>373</v>
      </c>
      <c r="P155" t="s">
        <v>29</v>
      </c>
      <c r="Q155">
        <v>34125912614</v>
      </c>
      <c r="R155" s="2" t="str">
        <f t="shared" si="17"/>
        <v>python|A1b|B1d|B2a|C1a</v>
      </c>
      <c r="S155" t="str">
        <f t="shared" si="18"/>
        <v>E</v>
      </c>
      <c r="T155" t="str">
        <f t="shared" si="13"/>
        <v>same</v>
      </c>
      <c r="U155" t="str">
        <f t="shared" si="14"/>
        <v/>
      </c>
      <c r="V155" t="str">
        <f t="shared" si="15"/>
        <v/>
      </c>
      <c r="W155" t="str">
        <f t="shared" si="16"/>
        <v/>
      </c>
    </row>
    <row r="156" spans="1:23" x14ac:dyDescent="0.3">
      <c r="A156" t="s">
        <v>374</v>
      </c>
      <c r="B156" s="1">
        <v>46272.633200486111</v>
      </c>
      <c r="C156" t="s">
        <v>231</v>
      </c>
      <c r="D156" t="s">
        <v>92</v>
      </c>
      <c r="E156" t="s">
        <v>79</v>
      </c>
      <c r="F156" t="s">
        <v>21</v>
      </c>
      <c r="G156" t="s">
        <v>238</v>
      </c>
      <c r="H156" t="s">
        <v>48</v>
      </c>
      <c r="I156" t="s">
        <v>49</v>
      </c>
      <c r="K156" t="s">
        <v>49</v>
      </c>
      <c r="L156" t="s">
        <v>49</v>
      </c>
      <c r="N156" t="s">
        <v>49</v>
      </c>
      <c r="O156" t="s">
        <v>375</v>
      </c>
      <c r="P156" t="s">
        <v>29</v>
      </c>
      <c r="Q156">
        <v>34125982506</v>
      </c>
      <c r="R156" s="2" t="str">
        <f t="shared" si="17"/>
        <v>python|A1b|B1d|B2a|C1b</v>
      </c>
      <c r="S156" t="str">
        <f t="shared" si="18"/>
        <v>E</v>
      </c>
      <c r="T156" t="str">
        <f t="shared" si="13"/>
        <v/>
      </c>
      <c r="U156" t="str">
        <f t="shared" si="14"/>
        <v/>
      </c>
      <c r="V156" t="str">
        <f t="shared" si="15"/>
        <v/>
      </c>
      <c r="W156" t="str">
        <f t="shared" si="16"/>
        <v/>
      </c>
    </row>
    <row r="157" spans="1:23" x14ac:dyDescent="0.3">
      <c r="A157" t="s">
        <v>376</v>
      </c>
      <c r="B157" s="1">
        <v>46272.633705046297</v>
      </c>
      <c r="C157" t="s">
        <v>231</v>
      </c>
      <c r="D157" t="s">
        <v>92</v>
      </c>
      <c r="E157" t="s">
        <v>79</v>
      </c>
      <c r="F157" t="s">
        <v>21</v>
      </c>
      <c r="G157" t="s">
        <v>31</v>
      </c>
      <c r="H157" t="s">
        <v>48</v>
      </c>
      <c r="I157" t="s">
        <v>49</v>
      </c>
      <c r="K157" t="s">
        <v>49</v>
      </c>
      <c r="L157" t="s">
        <v>49</v>
      </c>
      <c r="N157" t="s">
        <v>49</v>
      </c>
      <c r="O157" t="s">
        <v>377</v>
      </c>
      <c r="P157" t="s">
        <v>29</v>
      </c>
      <c r="Q157">
        <v>34126048925</v>
      </c>
      <c r="R157" s="2" t="str">
        <f t="shared" si="17"/>
        <v>python|A1b|B1d|B2a|C1c</v>
      </c>
      <c r="S157" t="str">
        <f t="shared" si="18"/>
        <v>E</v>
      </c>
      <c r="T157" t="str">
        <f t="shared" si="13"/>
        <v/>
      </c>
      <c r="U157" t="str">
        <f t="shared" si="14"/>
        <v/>
      </c>
      <c r="V157" t="str">
        <f t="shared" si="15"/>
        <v/>
      </c>
      <c r="W157" t="str">
        <f t="shared" si="16"/>
        <v/>
      </c>
    </row>
    <row r="158" spans="1:23" x14ac:dyDescent="0.3">
      <c r="A158" t="s">
        <v>378</v>
      </c>
      <c r="B158" s="1">
        <v>46272.634206932868</v>
      </c>
      <c r="C158" t="s">
        <v>231</v>
      </c>
      <c r="D158" t="s">
        <v>92</v>
      </c>
      <c r="E158" t="s">
        <v>79</v>
      </c>
      <c r="F158" t="s">
        <v>34</v>
      </c>
      <c r="G158" t="s">
        <v>22</v>
      </c>
      <c r="H158" t="s">
        <v>35</v>
      </c>
      <c r="I158" t="s">
        <v>232</v>
      </c>
      <c r="J158">
        <v>103</v>
      </c>
      <c r="K158" t="s">
        <v>263</v>
      </c>
      <c r="L158" t="s">
        <v>234</v>
      </c>
      <c r="M158">
        <v>103</v>
      </c>
      <c r="N158" t="s">
        <v>264</v>
      </c>
      <c r="O158" t="s">
        <v>379</v>
      </c>
      <c r="P158" t="s">
        <v>29</v>
      </c>
      <c r="Q158">
        <v>34126116473</v>
      </c>
      <c r="R158" s="2" t="str">
        <f t="shared" si="17"/>
        <v>python|A1b|B1d|B2b|C1a</v>
      </c>
      <c r="S158" t="str">
        <f t="shared" si="18"/>
        <v>M</v>
      </c>
      <c r="T158" t="str">
        <f t="shared" si="13"/>
        <v>same</v>
      </c>
      <c r="U158" t="str">
        <f t="shared" si="14"/>
        <v/>
      </c>
      <c r="V158" t="str">
        <f t="shared" si="15"/>
        <v/>
      </c>
      <c r="W158" t="str">
        <f t="shared" si="16"/>
        <v/>
      </c>
    </row>
    <row r="159" spans="1:23" x14ac:dyDescent="0.3">
      <c r="A159" t="s">
        <v>380</v>
      </c>
      <c r="B159" s="1">
        <v>46272.634703101852</v>
      </c>
      <c r="C159" t="s">
        <v>231</v>
      </c>
      <c r="D159" t="s">
        <v>92</v>
      </c>
      <c r="E159" t="s">
        <v>79</v>
      </c>
      <c r="F159" t="s">
        <v>34</v>
      </c>
      <c r="G159" t="s">
        <v>238</v>
      </c>
      <c r="H159" t="s">
        <v>48</v>
      </c>
      <c r="I159" t="s">
        <v>49</v>
      </c>
      <c r="K159" t="s">
        <v>49</v>
      </c>
      <c r="L159" t="s">
        <v>49</v>
      </c>
      <c r="N159" t="s">
        <v>49</v>
      </c>
      <c r="O159" t="s">
        <v>381</v>
      </c>
      <c r="P159" t="s">
        <v>29</v>
      </c>
      <c r="Q159">
        <v>34126186710</v>
      </c>
      <c r="R159" s="2" t="str">
        <f t="shared" si="17"/>
        <v>python|A1b|B1d|B2b|C1b</v>
      </c>
      <c r="S159" t="str">
        <f t="shared" si="18"/>
        <v>E</v>
      </c>
      <c r="T159" t="str">
        <f t="shared" si="13"/>
        <v/>
      </c>
      <c r="U159" t="str">
        <f t="shared" si="14"/>
        <v/>
      </c>
      <c r="V159" t="str">
        <f t="shared" si="15"/>
        <v/>
      </c>
      <c r="W159" t="str">
        <f t="shared" si="16"/>
        <v/>
      </c>
    </row>
    <row r="160" spans="1:23" x14ac:dyDescent="0.3">
      <c r="A160" t="s">
        <v>382</v>
      </c>
      <c r="B160" s="1">
        <v>46272.635203483798</v>
      </c>
      <c r="C160" t="s">
        <v>231</v>
      </c>
      <c r="D160" t="s">
        <v>92</v>
      </c>
      <c r="E160" t="s">
        <v>79</v>
      </c>
      <c r="F160" t="s">
        <v>34</v>
      </c>
      <c r="G160" t="s">
        <v>31</v>
      </c>
      <c r="H160" t="s">
        <v>35</v>
      </c>
      <c r="I160" t="s">
        <v>232</v>
      </c>
      <c r="J160">
        <v>103</v>
      </c>
      <c r="K160" t="s">
        <v>263</v>
      </c>
      <c r="L160" t="s">
        <v>234</v>
      </c>
      <c r="M160">
        <v>103</v>
      </c>
      <c r="N160" t="s">
        <v>264</v>
      </c>
      <c r="O160" t="s">
        <v>383</v>
      </c>
      <c r="P160" t="s">
        <v>29</v>
      </c>
      <c r="Q160">
        <v>34126254780</v>
      </c>
      <c r="R160" s="2" t="str">
        <f t="shared" si="17"/>
        <v>python|A1b|B1d|B2b|C1c</v>
      </c>
      <c r="S160" t="str">
        <f t="shared" si="18"/>
        <v>M</v>
      </c>
      <c r="T160" t="str">
        <f t="shared" si="13"/>
        <v/>
      </c>
      <c r="U160" t="str">
        <f t="shared" si="14"/>
        <v/>
      </c>
      <c r="V160" t="str">
        <f t="shared" si="15"/>
        <v/>
      </c>
      <c r="W160" t="str">
        <f t="shared" si="16"/>
        <v/>
      </c>
    </row>
    <row r="161" spans="1:23" x14ac:dyDescent="0.3">
      <c r="A161" t="s">
        <v>384</v>
      </c>
      <c r="B161" s="1">
        <v>46272.635658969906</v>
      </c>
      <c r="C161" t="s">
        <v>231</v>
      </c>
      <c r="D161" t="s">
        <v>92</v>
      </c>
      <c r="E161" t="s">
        <v>79</v>
      </c>
      <c r="F161" t="s">
        <v>42</v>
      </c>
      <c r="G161" t="s">
        <v>22</v>
      </c>
      <c r="H161" t="s">
        <v>35</v>
      </c>
      <c r="I161" t="s">
        <v>232</v>
      </c>
      <c r="J161">
        <v>103</v>
      </c>
      <c r="K161" t="s">
        <v>263</v>
      </c>
      <c r="L161" t="s">
        <v>234</v>
      </c>
      <c r="M161">
        <v>103</v>
      </c>
      <c r="N161" t="s">
        <v>264</v>
      </c>
      <c r="O161" t="s">
        <v>385</v>
      </c>
      <c r="P161" t="s">
        <v>29</v>
      </c>
      <c r="Q161">
        <v>34126323126</v>
      </c>
      <c r="R161" s="2" t="str">
        <f t="shared" si="17"/>
        <v>python|A1b|B1d|B2c|C1a</v>
      </c>
      <c r="S161" t="str">
        <f t="shared" si="18"/>
        <v>M</v>
      </c>
      <c r="T161" t="str">
        <f t="shared" si="13"/>
        <v>same</v>
      </c>
      <c r="U161" t="str">
        <f t="shared" si="14"/>
        <v/>
      </c>
      <c r="V161" t="str">
        <f t="shared" si="15"/>
        <v/>
      </c>
      <c r="W161" t="str">
        <f t="shared" si="16"/>
        <v/>
      </c>
    </row>
    <row r="162" spans="1:23" x14ac:dyDescent="0.3">
      <c r="A162" t="s">
        <v>386</v>
      </c>
      <c r="B162" s="1">
        <v>46272.636110914355</v>
      </c>
      <c r="C162" t="s">
        <v>231</v>
      </c>
      <c r="D162" t="s">
        <v>92</v>
      </c>
      <c r="E162" t="s">
        <v>79</v>
      </c>
      <c r="F162" t="s">
        <v>42</v>
      </c>
      <c r="G162" t="s">
        <v>238</v>
      </c>
      <c r="H162" t="s">
        <v>48</v>
      </c>
      <c r="I162" t="s">
        <v>49</v>
      </c>
      <c r="K162" t="s">
        <v>49</v>
      </c>
      <c r="L162" t="s">
        <v>49</v>
      </c>
      <c r="N162" t="s">
        <v>49</v>
      </c>
      <c r="O162" t="s">
        <v>387</v>
      </c>
      <c r="P162" t="s">
        <v>29</v>
      </c>
      <c r="Q162">
        <v>34126389093</v>
      </c>
      <c r="R162" s="2" t="str">
        <f t="shared" si="17"/>
        <v>python|A1b|B1d|B2c|C1b</v>
      </c>
      <c r="S162" t="str">
        <f t="shared" si="18"/>
        <v>E</v>
      </c>
      <c r="T162" t="str">
        <f t="shared" si="13"/>
        <v/>
      </c>
      <c r="U162" t="str">
        <f t="shared" si="14"/>
        <v/>
      </c>
      <c r="V162" t="str">
        <f t="shared" si="15"/>
        <v/>
      </c>
      <c r="W162" t="str">
        <f t="shared" si="16"/>
        <v/>
      </c>
    </row>
    <row r="163" spans="1:23" x14ac:dyDescent="0.3">
      <c r="A163" t="s">
        <v>388</v>
      </c>
      <c r="B163" s="1">
        <v>46272.636610034722</v>
      </c>
      <c r="C163" t="s">
        <v>231</v>
      </c>
      <c r="D163" t="s">
        <v>92</v>
      </c>
      <c r="E163" t="s">
        <v>79</v>
      </c>
      <c r="F163" t="s">
        <v>42</v>
      </c>
      <c r="G163" t="s">
        <v>31</v>
      </c>
      <c r="H163" t="s">
        <v>35</v>
      </c>
      <c r="I163" t="s">
        <v>232</v>
      </c>
      <c r="J163">
        <v>103</v>
      </c>
      <c r="K163" t="s">
        <v>263</v>
      </c>
      <c r="L163" t="s">
        <v>234</v>
      </c>
      <c r="M163">
        <v>103</v>
      </c>
      <c r="N163" t="s">
        <v>264</v>
      </c>
      <c r="O163" t="s">
        <v>389</v>
      </c>
      <c r="P163" t="s">
        <v>29</v>
      </c>
      <c r="Q163">
        <v>34126452474</v>
      </c>
      <c r="R163" s="2" t="str">
        <f t="shared" si="17"/>
        <v>python|A1b|B1d|B2c|C1c</v>
      </c>
      <c r="S163" t="str">
        <f t="shared" si="18"/>
        <v>M</v>
      </c>
      <c r="T163" t="str">
        <f t="shared" si="13"/>
        <v/>
      </c>
      <c r="U163" t="str">
        <f t="shared" si="14"/>
        <v/>
      </c>
      <c r="V163" t="str">
        <f t="shared" si="15"/>
        <v/>
      </c>
      <c r="W163" t="str">
        <f t="shared" si="16"/>
        <v/>
      </c>
    </row>
    <row r="164" spans="1:23" x14ac:dyDescent="0.3">
      <c r="A164" t="s">
        <v>390</v>
      </c>
      <c r="B164" s="1">
        <v>46272.637071793979</v>
      </c>
      <c r="C164" t="s">
        <v>231</v>
      </c>
      <c r="D164" t="s">
        <v>145</v>
      </c>
      <c r="E164" t="s">
        <v>20</v>
      </c>
      <c r="F164" t="s">
        <v>21</v>
      </c>
      <c r="G164" t="s">
        <v>22</v>
      </c>
      <c r="H164" t="s">
        <v>48</v>
      </c>
      <c r="I164" t="s">
        <v>49</v>
      </c>
      <c r="K164" t="s">
        <v>49</v>
      </c>
      <c r="L164" t="s">
        <v>49</v>
      </c>
      <c r="N164" t="s">
        <v>49</v>
      </c>
      <c r="O164" t="s">
        <v>391</v>
      </c>
      <c r="P164" t="s">
        <v>29</v>
      </c>
      <c r="Q164">
        <v>34126518002</v>
      </c>
      <c r="R164" s="2" t="str">
        <f t="shared" si="17"/>
        <v>python|A2|B1a|B2a|C1a</v>
      </c>
      <c r="S164" t="str">
        <f t="shared" si="18"/>
        <v>E</v>
      </c>
      <c r="T164" t="str">
        <f t="shared" si="13"/>
        <v>same</v>
      </c>
      <c r="U164" t="str">
        <f t="shared" si="14"/>
        <v/>
      </c>
      <c r="V164" t="str">
        <f t="shared" si="15"/>
        <v/>
      </c>
      <c r="W164" t="str">
        <f t="shared" si="16"/>
        <v/>
      </c>
    </row>
    <row r="165" spans="1:23" x14ac:dyDescent="0.3">
      <c r="A165" t="s">
        <v>392</v>
      </c>
      <c r="B165" s="1">
        <v>46272.637554247682</v>
      </c>
      <c r="C165" t="s">
        <v>231</v>
      </c>
      <c r="D165" t="s">
        <v>145</v>
      </c>
      <c r="E165" t="s">
        <v>20</v>
      </c>
      <c r="F165" t="s">
        <v>21</v>
      </c>
      <c r="G165" t="s">
        <v>238</v>
      </c>
      <c r="H165" t="s">
        <v>48</v>
      </c>
      <c r="I165" t="s">
        <v>49</v>
      </c>
      <c r="K165" t="s">
        <v>49</v>
      </c>
      <c r="L165" t="s">
        <v>49</v>
      </c>
      <c r="N165" t="s">
        <v>49</v>
      </c>
      <c r="O165" t="s">
        <v>393</v>
      </c>
      <c r="P165" t="s">
        <v>29</v>
      </c>
      <c r="Q165">
        <v>34126583112</v>
      </c>
      <c r="R165" s="2" t="str">
        <f t="shared" si="17"/>
        <v>python|A2|B1a|B2a|C1b</v>
      </c>
      <c r="S165" t="str">
        <f t="shared" si="18"/>
        <v>E</v>
      </c>
      <c r="T165" t="str">
        <f t="shared" si="13"/>
        <v/>
      </c>
      <c r="U165" t="str">
        <f t="shared" si="14"/>
        <v/>
      </c>
      <c r="V165" t="str">
        <f t="shared" si="15"/>
        <v/>
      </c>
      <c r="W165" t="str">
        <f t="shared" si="16"/>
        <v/>
      </c>
    </row>
    <row r="166" spans="1:23" x14ac:dyDescent="0.3">
      <c r="A166" t="s">
        <v>394</v>
      </c>
      <c r="B166" s="1">
        <v>46272.638056990741</v>
      </c>
      <c r="C166" t="s">
        <v>231</v>
      </c>
      <c r="D166" t="s">
        <v>145</v>
      </c>
      <c r="E166" t="s">
        <v>20</v>
      </c>
      <c r="F166" t="s">
        <v>21</v>
      </c>
      <c r="G166" t="s">
        <v>31</v>
      </c>
      <c r="H166" t="s">
        <v>48</v>
      </c>
      <c r="I166" t="s">
        <v>49</v>
      </c>
      <c r="K166" t="s">
        <v>49</v>
      </c>
      <c r="L166" t="s">
        <v>49</v>
      </c>
      <c r="N166" t="s">
        <v>49</v>
      </c>
      <c r="O166" t="s">
        <v>395</v>
      </c>
      <c r="P166" t="s">
        <v>29</v>
      </c>
      <c r="Q166">
        <v>34126649079</v>
      </c>
      <c r="R166" s="2" t="str">
        <f t="shared" si="17"/>
        <v>python|A2|B1a|B2a|C1c</v>
      </c>
      <c r="S166" t="str">
        <f t="shared" si="18"/>
        <v>E</v>
      </c>
      <c r="T166" t="str">
        <f t="shared" si="13"/>
        <v/>
      </c>
      <c r="U166" t="str">
        <f t="shared" si="14"/>
        <v/>
      </c>
      <c r="V166" t="str">
        <f t="shared" si="15"/>
        <v/>
      </c>
      <c r="W166" t="str">
        <f t="shared" si="16"/>
        <v/>
      </c>
    </row>
    <row r="167" spans="1:23" x14ac:dyDescent="0.3">
      <c r="A167" t="s">
        <v>396</v>
      </c>
      <c r="B167" s="1">
        <v>46272.638528796298</v>
      </c>
      <c r="C167" t="s">
        <v>231</v>
      </c>
      <c r="D167" t="s">
        <v>145</v>
      </c>
      <c r="E167" t="s">
        <v>20</v>
      </c>
      <c r="F167" t="s">
        <v>34</v>
      </c>
      <c r="G167" t="s">
        <v>22</v>
      </c>
      <c r="H167" t="s">
        <v>48</v>
      </c>
      <c r="I167" t="s">
        <v>49</v>
      </c>
      <c r="K167" t="s">
        <v>49</v>
      </c>
      <c r="L167" t="s">
        <v>49</v>
      </c>
      <c r="N167" t="s">
        <v>49</v>
      </c>
      <c r="O167" t="s">
        <v>397</v>
      </c>
      <c r="P167" t="s">
        <v>29</v>
      </c>
      <c r="Q167">
        <v>34126713869</v>
      </c>
      <c r="R167" s="2" t="str">
        <f t="shared" si="17"/>
        <v>python|A2|B1a|B2b|C1a</v>
      </c>
      <c r="S167" t="str">
        <f t="shared" si="18"/>
        <v>E</v>
      </c>
      <c r="T167" t="str">
        <f t="shared" si="13"/>
        <v>same</v>
      </c>
      <c r="U167" t="str">
        <f t="shared" si="14"/>
        <v/>
      </c>
      <c r="V167" t="str">
        <f t="shared" si="15"/>
        <v/>
      </c>
      <c r="W167" t="str">
        <f t="shared" si="16"/>
        <v/>
      </c>
    </row>
    <row r="168" spans="1:23" x14ac:dyDescent="0.3">
      <c r="A168" t="s">
        <v>398</v>
      </c>
      <c r="B168" s="1">
        <v>46272.639014884262</v>
      </c>
      <c r="C168" t="s">
        <v>231</v>
      </c>
      <c r="D168" t="s">
        <v>145</v>
      </c>
      <c r="E168" t="s">
        <v>20</v>
      </c>
      <c r="F168" t="s">
        <v>34</v>
      </c>
      <c r="G168" t="s">
        <v>238</v>
      </c>
      <c r="H168" t="s">
        <v>48</v>
      </c>
      <c r="I168" t="s">
        <v>49</v>
      </c>
      <c r="K168" t="s">
        <v>49</v>
      </c>
      <c r="L168" t="s">
        <v>49</v>
      </c>
      <c r="N168" t="s">
        <v>49</v>
      </c>
      <c r="O168" t="s">
        <v>399</v>
      </c>
      <c r="P168" t="s">
        <v>29</v>
      </c>
      <c r="Q168">
        <v>34126780015</v>
      </c>
      <c r="R168" s="2" t="str">
        <f t="shared" si="17"/>
        <v>python|A2|B1a|B2b|C1b</v>
      </c>
      <c r="S168" t="str">
        <f t="shared" si="18"/>
        <v>E</v>
      </c>
      <c r="T168" t="str">
        <f t="shared" si="13"/>
        <v/>
      </c>
      <c r="U168" t="str">
        <f t="shared" si="14"/>
        <v/>
      </c>
      <c r="V168" t="str">
        <f t="shared" si="15"/>
        <v/>
      </c>
      <c r="W168" t="str">
        <f t="shared" si="16"/>
        <v/>
      </c>
    </row>
    <row r="169" spans="1:23" x14ac:dyDescent="0.3">
      <c r="A169" t="s">
        <v>400</v>
      </c>
      <c r="B169" s="1">
        <v>46272.639517303243</v>
      </c>
      <c r="C169" t="s">
        <v>231</v>
      </c>
      <c r="D169" t="s">
        <v>145</v>
      </c>
      <c r="E169" t="s">
        <v>20</v>
      </c>
      <c r="F169" t="s">
        <v>34</v>
      </c>
      <c r="G169" t="s">
        <v>31</v>
      </c>
      <c r="H169" t="s">
        <v>48</v>
      </c>
      <c r="I169" t="s">
        <v>49</v>
      </c>
      <c r="K169" t="s">
        <v>49</v>
      </c>
      <c r="L169" t="s">
        <v>49</v>
      </c>
      <c r="N169" t="s">
        <v>49</v>
      </c>
      <c r="O169" t="s">
        <v>401</v>
      </c>
      <c r="P169" t="s">
        <v>29</v>
      </c>
      <c r="Q169">
        <v>34126848447</v>
      </c>
      <c r="R169" s="2" t="str">
        <f t="shared" si="17"/>
        <v>python|A2|B1a|B2b|C1c</v>
      </c>
      <c r="S169" t="str">
        <f t="shared" si="18"/>
        <v>E</v>
      </c>
      <c r="T169" t="str">
        <f t="shared" si="13"/>
        <v/>
      </c>
      <c r="U169" t="str">
        <f t="shared" si="14"/>
        <v/>
      </c>
      <c r="V169" t="str">
        <f t="shared" si="15"/>
        <v/>
      </c>
      <c r="W169" t="str">
        <f t="shared" si="16"/>
        <v/>
      </c>
    </row>
    <row r="170" spans="1:23" x14ac:dyDescent="0.3">
      <c r="A170" t="s">
        <v>402</v>
      </c>
      <c r="B170" s="1">
        <v>46272.639994143516</v>
      </c>
      <c r="C170" t="s">
        <v>231</v>
      </c>
      <c r="D170" t="s">
        <v>145</v>
      </c>
      <c r="E170" t="s">
        <v>20</v>
      </c>
      <c r="F170" t="s">
        <v>42</v>
      </c>
      <c r="G170" t="s">
        <v>22</v>
      </c>
      <c r="H170" t="s">
        <v>48</v>
      </c>
      <c r="I170" t="s">
        <v>49</v>
      </c>
      <c r="K170" t="s">
        <v>49</v>
      </c>
      <c r="L170" t="s">
        <v>49</v>
      </c>
      <c r="N170" t="s">
        <v>49</v>
      </c>
      <c r="O170" t="s">
        <v>403</v>
      </c>
      <c r="P170" t="s">
        <v>29</v>
      </c>
      <c r="Q170">
        <v>34126914018</v>
      </c>
      <c r="R170" s="2" t="str">
        <f t="shared" si="17"/>
        <v>python|A2|B1a|B2c|C1a</v>
      </c>
      <c r="S170" t="str">
        <f t="shared" si="18"/>
        <v>E</v>
      </c>
      <c r="T170" t="str">
        <f t="shared" si="13"/>
        <v>same</v>
      </c>
      <c r="U170" t="str">
        <f t="shared" si="14"/>
        <v/>
      </c>
      <c r="V170" t="str">
        <f t="shared" si="15"/>
        <v/>
      </c>
      <c r="W170" t="str">
        <f t="shared" si="16"/>
        <v/>
      </c>
    </row>
    <row r="171" spans="1:23" x14ac:dyDescent="0.3">
      <c r="A171" t="s">
        <v>404</v>
      </c>
      <c r="B171" s="1">
        <v>46272.640464687502</v>
      </c>
      <c r="C171" t="s">
        <v>231</v>
      </c>
      <c r="D171" t="s">
        <v>145</v>
      </c>
      <c r="E171" t="s">
        <v>20</v>
      </c>
      <c r="F171" t="s">
        <v>42</v>
      </c>
      <c r="G171" t="s">
        <v>238</v>
      </c>
      <c r="H171" t="s">
        <v>48</v>
      </c>
      <c r="I171" t="s">
        <v>49</v>
      </c>
      <c r="K171" t="s">
        <v>49</v>
      </c>
      <c r="L171" t="s">
        <v>49</v>
      </c>
      <c r="N171" t="s">
        <v>49</v>
      </c>
      <c r="O171" t="s">
        <v>405</v>
      </c>
      <c r="P171" t="s">
        <v>29</v>
      </c>
      <c r="Q171">
        <v>34126978469</v>
      </c>
      <c r="R171" s="2" t="str">
        <f t="shared" si="17"/>
        <v>python|A2|B1a|B2c|C1b</v>
      </c>
      <c r="S171" t="str">
        <f t="shared" si="18"/>
        <v>E</v>
      </c>
      <c r="T171" t="str">
        <f t="shared" si="13"/>
        <v/>
      </c>
      <c r="U171" t="str">
        <f t="shared" si="14"/>
        <v/>
      </c>
      <c r="V171" t="str">
        <f t="shared" si="15"/>
        <v/>
      </c>
      <c r="W171" t="str">
        <f t="shared" si="16"/>
        <v/>
      </c>
    </row>
    <row r="172" spans="1:23" x14ac:dyDescent="0.3">
      <c r="A172" t="s">
        <v>406</v>
      </c>
      <c r="B172" s="1">
        <v>46272.640936226853</v>
      </c>
      <c r="C172" t="s">
        <v>231</v>
      </c>
      <c r="D172" t="s">
        <v>145</v>
      </c>
      <c r="E172" t="s">
        <v>20</v>
      </c>
      <c r="F172" t="s">
        <v>42</v>
      </c>
      <c r="G172" t="s">
        <v>31</v>
      </c>
      <c r="H172" t="s">
        <v>48</v>
      </c>
      <c r="I172" t="s">
        <v>49</v>
      </c>
      <c r="K172" t="s">
        <v>49</v>
      </c>
      <c r="L172" t="s">
        <v>49</v>
      </c>
      <c r="N172" t="s">
        <v>49</v>
      </c>
      <c r="O172" t="s">
        <v>407</v>
      </c>
      <c r="P172" t="s">
        <v>29</v>
      </c>
      <c r="Q172">
        <v>34127041123</v>
      </c>
      <c r="R172" s="2" t="str">
        <f t="shared" si="17"/>
        <v>python|A2|B1a|B2c|C1c</v>
      </c>
      <c r="S172" t="str">
        <f t="shared" si="18"/>
        <v>E</v>
      </c>
      <c r="T172" t="str">
        <f t="shared" si="13"/>
        <v/>
      </c>
      <c r="U172" t="str">
        <f t="shared" si="14"/>
        <v/>
      </c>
      <c r="V172" t="str">
        <f t="shared" si="15"/>
        <v/>
      </c>
      <c r="W172" t="str">
        <f t="shared" si="16"/>
        <v/>
      </c>
    </row>
    <row r="173" spans="1:23" x14ac:dyDescent="0.3">
      <c r="A173" t="s">
        <v>408</v>
      </c>
      <c r="B173" s="1">
        <v>46272.641448090275</v>
      </c>
      <c r="C173" t="s">
        <v>231</v>
      </c>
      <c r="D173" t="s">
        <v>145</v>
      </c>
      <c r="E173" t="s">
        <v>47</v>
      </c>
      <c r="F173" t="s">
        <v>21</v>
      </c>
      <c r="G173" t="s">
        <v>22</v>
      </c>
      <c r="H173" t="s">
        <v>23</v>
      </c>
      <c r="I173" t="s">
        <v>232</v>
      </c>
      <c r="J173">
        <v>100</v>
      </c>
      <c r="K173" t="s">
        <v>409</v>
      </c>
      <c r="L173" t="s">
        <v>234</v>
      </c>
      <c r="M173">
        <v>100</v>
      </c>
      <c r="N173" t="s">
        <v>410</v>
      </c>
      <c r="O173" t="s">
        <v>411</v>
      </c>
      <c r="P173" t="s">
        <v>29</v>
      </c>
      <c r="Q173">
        <v>34127106311</v>
      </c>
      <c r="R173" s="2" t="str">
        <f t="shared" si="17"/>
        <v>python|A2|B1b|B2a|C1a</v>
      </c>
      <c r="S173" t="str">
        <f t="shared" si="18"/>
        <v>P</v>
      </c>
      <c r="T173" t="str">
        <f t="shared" si="13"/>
        <v>same</v>
      </c>
      <c r="U173" t="str">
        <f t="shared" si="14"/>
        <v/>
      </c>
      <c r="V173" t="str">
        <f t="shared" si="15"/>
        <v/>
      </c>
      <c r="W173" t="str">
        <f t="shared" si="16"/>
        <v/>
      </c>
    </row>
    <row r="174" spans="1:23" x14ac:dyDescent="0.3">
      <c r="A174" t="s">
        <v>412</v>
      </c>
      <c r="B174" s="1">
        <v>46272.642056747682</v>
      </c>
      <c r="C174" t="s">
        <v>231</v>
      </c>
      <c r="D174" t="s">
        <v>145</v>
      </c>
      <c r="E174" t="s">
        <v>47</v>
      </c>
      <c r="F174" t="s">
        <v>21</v>
      </c>
      <c r="G174" t="s">
        <v>238</v>
      </c>
      <c r="H174" t="s">
        <v>23</v>
      </c>
      <c r="I174" t="s">
        <v>232</v>
      </c>
      <c r="J174">
        <v>100</v>
      </c>
      <c r="K174" t="s">
        <v>409</v>
      </c>
      <c r="L174" t="s">
        <v>234</v>
      </c>
      <c r="M174">
        <v>100</v>
      </c>
      <c r="N174" t="s">
        <v>410</v>
      </c>
      <c r="O174" t="s">
        <v>413</v>
      </c>
      <c r="P174" t="s">
        <v>29</v>
      </c>
      <c r="Q174">
        <v>34127173091</v>
      </c>
      <c r="R174" s="2" t="str">
        <f t="shared" si="17"/>
        <v>python|A2|B1b|B2a|C1b</v>
      </c>
      <c r="S174" t="str">
        <f t="shared" si="18"/>
        <v>P</v>
      </c>
      <c r="T174" t="str">
        <f t="shared" si="13"/>
        <v/>
      </c>
      <c r="U174" t="str">
        <f t="shared" si="14"/>
        <v/>
      </c>
      <c r="V174" t="str">
        <f t="shared" si="15"/>
        <v/>
      </c>
      <c r="W174" t="str">
        <f t="shared" si="16"/>
        <v/>
      </c>
    </row>
    <row r="175" spans="1:23" x14ac:dyDescent="0.3">
      <c r="A175" t="s">
        <v>414</v>
      </c>
      <c r="B175" s="1">
        <v>46272.642624803244</v>
      </c>
      <c r="C175" t="s">
        <v>231</v>
      </c>
      <c r="D175" t="s">
        <v>145</v>
      </c>
      <c r="E175" t="s">
        <v>47</v>
      </c>
      <c r="F175" t="s">
        <v>21</v>
      </c>
      <c r="G175" t="s">
        <v>31</v>
      </c>
      <c r="H175" t="s">
        <v>23</v>
      </c>
      <c r="I175" t="s">
        <v>232</v>
      </c>
      <c r="J175">
        <v>100</v>
      </c>
      <c r="K175" t="s">
        <v>409</v>
      </c>
      <c r="L175" t="s">
        <v>234</v>
      </c>
      <c r="M175">
        <v>100</v>
      </c>
      <c r="N175" t="s">
        <v>410</v>
      </c>
      <c r="O175" t="s">
        <v>415</v>
      </c>
      <c r="P175" t="s">
        <v>29</v>
      </c>
      <c r="Q175">
        <v>34127251988</v>
      </c>
      <c r="R175" s="2" t="str">
        <f t="shared" si="17"/>
        <v>python|A2|B1b|B2a|C1c</v>
      </c>
      <c r="S175" t="str">
        <f t="shared" si="18"/>
        <v>P</v>
      </c>
      <c r="T175" t="str">
        <f t="shared" si="13"/>
        <v/>
      </c>
      <c r="U175" t="str">
        <f t="shared" si="14"/>
        <v/>
      </c>
      <c r="V175" t="str">
        <f t="shared" si="15"/>
        <v/>
      </c>
      <c r="W175" t="str">
        <f t="shared" si="16"/>
        <v/>
      </c>
    </row>
    <row r="176" spans="1:23" x14ac:dyDescent="0.3">
      <c r="A176" t="s">
        <v>416</v>
      </c>
      <c r="B176" s="1">
        <v>46272.643138749998</v>
      </c>
      <c r="C176" t="s">
        <v>231</v>
      </c>
      <c r="D176" t="s">
        <v>145</v>
      </c>
      <c r="E176" t="s">
        <v>47</v>
      </c>
      <c r="F176" t="s">
        <v>34</v>
      </c>
      <c r="G176" t="s">
        <v>22</v>
      </c>
      <c r="H176" t="s">
        <v>35</v>
      </c>
      <c r="I176" t="s">
        <v>232</v>
      </c>
      <c r="J176">
        <v>103</v>
      </c>
      <c r="K176" t="s">
        <v>263</v>
      </c>
      <c r="L176" t="s">
        <v>234</v>
      </c>
      <c r="M176">
        <v>103</v>
      </c>
      <c r="N176" t="s">
        <v>264</v>
      </c>
      <c r="O176" t="s">
        <v>417</v>
      </c>
      <c r="P176" t="s">
        <v>29</v>
      </c>
      <c r="Q176">
        <v>34127327573</v>
      </c>
      <c r="R176" s="2" t="str">
        <f t="shared" si="17"/>
        <v>python|A2|B1b|B2b|C1a</v>
      </c>
      <c r="S176" t="str">
        <f t="shared" si="18"/>
        <v>M</v>
      </c>
      <c r="T176" t="str">
        <f t="shared" si="13"/>
        <v>same</v>
      </c>
      <c r="U176" t="str">
        <f t="shared" si="14"/>
        <v/>
      </c>
      <c r="V176" t="str">
        <f t="shared" si="15"/>
        <v/>
      </c>
      <c r="W176" t="str">
        <f t="shared" si="16"/>
        <v/>
      </c>
    </row>
    <row r="177" spans="1:23" x14ac:dyDescent="0.3">
      <c r="A177" t="s">
        <v>418</v>
      </c>
      <c r="B177" s="1">
        <v>46272.643752743053</v>
      </c>
      <c r="C177" t="s">
        <v>231</v>
      </c>
      <c r="D177" t="s">
        <v>145</v>
      </c>
      <c r="E177" t="s">
        <v>47</v>
      </c>
      <c r="F177" t="s">
        <v>34</v>
      </c>
      <c r="G177" t="s">
        <v>238</v>
      </c>
      <c r="H177" t="s">
        <v>35</v>
      </c>
      <c r="I177" t="s">
        <v>232</v>
      </c>
      <c r="J177">
        <v>103</v>
      </c>
      <c r="K177" t="s">
        <v>263</v>
      </c>
      <c r="L177" t="s">
        <v>234</v>
      </c>
      <c r="M177">
        <v>103</v>
      </c>
      <c r="N177" t="s">
        <v>264</v>
      </c>
      <c r="O177" t="s">
        <v>419</v>
      </c>
      <c r="P177" t="s">
        <v>29</v>
      </c>
      <c r="Q177">
        <v>34127394499</v>
      </c>
      <c r="R177" s="2" t="str">
        <f t="shared" si="17"/>
        <v>python|A2|B1b|B2b|C1b</v>
      </c>
      <c r="S177" t="str">
        <f t="shared" si="18"/>
        <v>M</v>
      </c>
      <c r="T177" t="str">
        <f t="shared" si="13"/>
        <v/>
      </c>
      <c r="U177" t="str">
        <f t="shared" si="14"/>
        <v/>
      </c>
      <c r="V177" t="str">
        <f t="shared" si="15"/>
        <v/>
      </c>
      <c r="W177" t="str">
        <f t="shared" si="16"/>
        <v/>
      </c>
    </row>
    <row r="178" spans="1:23" x14ac:dyDescent="0.3">
      <c r="A178" t="s">
        <v>420</v>
      </c>
      <c r="B178" s="1">
        <v>46272.644318101855</v>
      </c>
      <c r="C178" t="s">
        <v>231</v>
      </c>
      <c r="D178" t="s">
        <v>145</v>
      </c>
      <c r="E178" t="s">
        <v>47</v>
      </c>
      <c r="F178" t="s">
        <v>34</v>
      </c>
      <c r="G178" t="s">
        <v>31</v>
      </c>
      <c r="H178" t="s">
        <v>35</v>
      </c>
      <c r="I178" t="s">
        <v>232</v>
      </c>
      <c r="J178">
        <v>103</v>
      </c>
      <c r="K178" t="s">
        <v>263</v>
      </c>
      <c r="L178" t="s">
        <v>234</v>
      </c>
      <c r="M178">
        <v>103</v>
      </c>
      <c r="N178" t="s">
        <v>264</v>
      </c>
      <c r="O178" t="s">
        <v>421</v>
      </c>
      <c r="P178" t="s">
        <v>29</v>
      </c>
      <c r="Q178">
        <v>34127472578</v>
      </c>
      <c r="R178" s="2" t="str">
        <f t="shared" si="17"/>
        <v>python|A2|B1b|B2b|C1c</v>
      </c>
      <c r="S178" t="str">
        <f t="shared" si="18"/>
        <v>M</v>
      </c>
      <c r="T178" t="str">
        <f t="shared" si="13"/>
        <v/>
      </c>
      <c r="U178" t="str">
        <f t="shared" si="14"/>
        <v/>
      </c>
      <c r="V178" t="str">
        <f t="shared" si="15"/>
        <v/>
      </c>
      <c r="W178" t="str">
        <f t="shared" si="16"/>
        <v/>
      </c>
    </row>
    <row r="179" spans="1:23" x14ac:dyDescent="0.3">
      <c r="A179" t="s">
        <v>422</v>
      </c>
      <c r="B179" s="1">
        <v>46272.644829178244</v>
      </c>
      <c r="C179" t="s">
        <v>231</v>
      </c>
      <c r="D179" t="s">
        <v>145</v>
      </c>
      <c r="E179" t="s">
        <v>47</v>
      </c>
      <c r="F179" t="s">
        <v>42</v>
      </c>
      <c r="G179" t="s">
        <v>22</v>
      </c>
      <c r="H179" t="s">
        <v>35</v>
      </c>
      <c r="I179" t="s">
        <v>232</v>
      </c>
      <c r="J179">
        <v>103</v>
      </c>
      <c r="K179" t="s">
        <v>263</v>
      </c>
      <c r="L179" t="s">
        <v>234</v>
      </c>
      <c r="M179">
        <v>103</v>
      </c>
      <c r="N179" t="s">
        <v>264</v>
      </c>
      <c r="O179" t="s">
        <v>423</v>
      </c>
      <c r="P179" t="s">
        <v>29</v>
      </c>
      <c r="Q179">
        <v>34127545774</v>
      </c>
      <c r="R179" s="2" t="str">
        <f t="shared" si="17"/>
        <v>python|A2|B1b|B2c|C1a</v>
      </c>
      <c r="S179" t="str">
        <f t="shared" si="18"/>
        <v>M</v>
      </c>
      <c r="T179" t="str">
        <f t="shared" si="13"/>
        <v>same</v>
      </c>
      <c r="U179" t="str">
        <f t="shared" si="14"/>
        <v/>
      </c>
      <c r="V179" t="str">
        <f t="shared" si="15"/>
        <v/>
      </c>
      <c r="W179" t="str">
        <f t="shared" si="16"/>
        <v/>
      </c>
    </row>
    <row r="180" spans="1:23" x14ac:dyDescent="0.3">
      <c r="A180" t="s">
        <v>424</v>
      </c>
      <c r="B180" s="1">
        <v>46272.645476435187</v>
      </c>
      <c r="C180" t="s">
        <v>231</v>
      </c>
      <c r="D180" t="s">
        <v>145</v>
      </c>
      <c r="E180" t="s">
        <v>47</v>
      </c>
      <c r="F180" t="s">
        <v>42</v>
      </c>
      <c r="G180" t="s">
        <v>238</v>
      </c>
      <c r="H180" t="s">
        <v>35</v>
      </c>
      <c r="I180" t="s">
        <v>232</v>
      </c>
      <c r="J180">
        <v>103</v>
      </c>
      <c r="K180" t="s">
        <v>263</v>
      </c>
      <c r="L180" t="s">
        <v>234</v>
      </c>
      <c r="M180">
        <v>103</v>
      </c>
      <c r="N180" t="s">
        <v>264</v>
      </c>
      <c r="O180" t="s">
        <v>425</v>
      </c>
      <c r="P180" t="s">
        <v>29</v>
      </c>
      <c r="Q180">
        <v>34127611317</v>
      </c>
      <c r="R180" s="2" t="str">
        <f t="shared" si="17"/>
        <v>python|A2|B1b|B2c|C1b</v>
      </c>
      <c r="S180" t="str">
        <f t="shared" si="18"/>
        <v>M</v>
      </c>
      <c r="T180" t="str">
        <f t="shared" si="13"/>
        <v/>
      </c>
      <c r="U180" t="str">
        <f t="shared" si="14"/>
        <v/>
      </c>
      <c r="V180" t="str">
        <f t="shared" si="15"/>
        <v/>
      </c>
      <c r="W180" t="str">
        <f t="shared" si="16"/>
        <v/>
      </c>
    </row>
    <row r="181" spans="1:23" x14ac:dyDescent="0.3">
      <c r="A181" t="s">
        <v>426</v>
      </c>
      <c r="B181" s="1">
        <v>46272.646043206019</v>
      </c>
      <c r="C181" t="s">
        <v>231</v>
      </c>
      <c r="D181" t="s">
        <v>145</v>
      </c>
      <c r="E181" t="s">
        <v>47</v>
      </c>
      <c r="F181" t="s">
        <v>42</v>
      </c>
      <c r="G181" t="s">
        <v>31</v>
      </c>
      <c r="H181" t="s">
        <v>35</v>
      </c>
      <c r="I181" t="s">
        <v>232</v>
      </c>
      <c r="J181">
        <v>103</v>
      </c>
      <c r="K181" t="s">
        <v>263</v>
      </c>
      <c r="L181" t="s">
        <v>234</v>
      </c>
      <c r="M181">
        <v>103</v>
      </c>
      <c r="N181" t="s">
        <v>264</v>
      </c>
      <c r="O181" t="s">
        <v>427</v>
      </c>
      <c r="P181" t="s">
        <v>29</v>
      </c>
      <c r="Q181">
        <v>34127696363</v>
      </c>
      <c r="R181" s="2" t="str">
        <f t="shared" si="17"/>
        <v>python|A2|B1b|B2c|C1c</v>
      </c>
      <c r="S181" t="str">
        <f t="shared" si="18"/>
        <v>M</v>
      </c>
      <c r="T181" t="str">
        <f t="shared" si="13"/>
        <v/>
      </c>
      <c r="U181" t="str">
        <f t="shared" si="14"/>
        <v/>
      </c>
      <c r="V181" t="str">
        <f t="shared" si="15"/>
        <v/>
      </c>
      <c r="W181" t="str">
        <f t="shared" si="16"/>
        <v/>
      </c>
    </row>
    <row r="182" spans="1:23" x14ac:dyDescent="0.3">
      <c r="A182" t="s">
        <v>428</v>
      </c>
      <c r="B182" s="1">
        <v>46272.646660625003</v>
      </c>
      <c r="C182" t="s">
        <v>231</v>
      </c>
      <c r="D182" t="s">
        <v>145</v>
      </c>
      <c r="E182" t="s">
        <v>64</v>
      </c>
      <c r="F182" t="s">
        <v>21</v>
      </c>
      <c r="G182" t="s">
        <v>22</v>
      </c>
      <c r="H182" t="s">
        <v>23</v>
      </c>
      <c r="I182" t="s">
        <v>232</v>
      </c>
      <c r="J182">
        <v>100</v>
      </c>
      <c r="K182" t="s">
        <v>409</v>
      </c>
      <c r="L182" t="s">
        <v>234</v>
      </c>
      <c r="M182">
        <v>100</v>
      </c>
      <c r="N182" t="s">
        <v>410</v>
      </c>
      <c r="O182" t="s">
        <v>429</v>
      </c>
      <c r="P182" t="s">
        <v>29</v>
      </c>
      <c r="Q182">
        <v>34127777719</v>
      </c>
      <c r="R182" s="2" t="str">
        <f t="shared" si="17"/>
        <v>python|A2|B1c|B2a|C1a</v>
      </c>
      <c r="S182" t="str">
        <f t="shared" si="18"/>
        <v>P</v>
      </c>
      <c r="T182" t="str">
        <f t="shared" si="13"/>
        <v>same</v>
      </c>
      <c r="U182" t="str">
        <f t="shared" si="14"/>
        <v/>
      </c>
      <c r="V182" t="str">
        <f t="shared" si="15"/>
        <v/>
      </c>
      <c r="W182" t="str">
        <f t="shared" si="16"/>
        <v/>
      </c>
    </row>
    <row r="183" spans="1:23" x14ac:dyDescent="0.3">
      <c r="A183" t="s">
        <v>430</v>
      </c>
      <c r="B183" s="1">
        <v>46272.647371446757</v>
      </c>
      <c r="C183" t="s">
        <v>231</v>
      </c>
      <c r="D183" t="s">
        <v>145</v>
      </c>
      <c r="E183" t="s">
        <v>64</v>
      </c>
      <c r="F183" t="s">
        <v>21</v>
      </c>
      <c r="G183" t="s">
        <v>238</v>
      </c>
      <c r="H183" t="s">
        <v>23</v>
      </c>
      <c r="I183" t="s">
        <v>232</v>
      </c>
      <c r="J183">
        <v>100</v>
      </c>
      <c r="K183" t="s">
        <v>409</v>
      </c>
      <c r="L183" t="s">
        <v>234</v>
      </c>
      <c r="M183">
        <v>100</v>
      </c>
      <c r="N183" t="s">
        <v>410</v>
      </c>
      <c r="O183" t="s">
        <v>431</v>
      </c>
      <c r="P183" t="s">
        <v>29</v>
      </c>
      <c r="Q183">
        <v>34127862738</v>
      </c>
      <c r="R183" s="2" t="str">
        <f t="shared" si="17"/>
        <v>python|A2|B1c|B2a|C1b</v>
      </c>
      <c r="S183" t="str">
        <f t="shared" si="18"/>
        <v>P</v>
      </c>
      <c r="T183" t="str">
        <f t="shared" si="13"/>
        <v/>
      </c>
      <c r="U183" t="str">
        <f t="shared" si="14"/>
        <v/>
      </c>
      <c r="V183" t="str">
        <f t="shared" si="15"/>
        <v/>
      </c>
      <c r="W183" t="str">
        <f t="shared" si="16"/>
        <v/>
      </c>
    </row>
    <row r="184" spans="1:23" x14ac:dyDescent="0.3">
      <c r="A184" t="s">
        <v>432</v>
      </c>
      <c r="B184" s="1">
        <v>46272.648023020833</v>
      </c>
      <c r="C184" t="s">
        <v>231</v>
      </c>
      <c r="D184" t="s">
        <v>145</v>
      </c>
      <c r="E184" t="s">
        <v>64</v>
      </c>
      <c r="F184" t="s">
        <v>21</v>
      </c>
      <c r="G184" t="s">
        <v>31</v>
      </c>
      <c r="H184" t="s">
        <v>23</v>
      </c>
      <c r="I184" t="s">
        <v>232</v>
      </c>
      <c r="J184">
        <v>100</v>
      </c>
      <c r="K184" t="s">
        <v>409</v>
      </c>
      <c r="L184" t="s">
        <v>234</v>
      </c>
      <c r="M184">
        <v>100</v>
      </c>
      <c r="N184" t="s">
        <v>410</v>
      </c>
      <c r="O184" t="s">
        <v>433</v>
      </c>
      <c r="P184" t="s">
        <v>29</v>
      </c>
      <c r="Q184">
        <v>34127957834</v>
      </c>
      <c r="R184" s="2" t="str">
        <f t="shared" si="17"/>
        <v>python|A2|B1c|B2a|C1c</v>
      </c>
      <c r="S184" t="str">
        <f t="shared" si="18"/>
        <v>P</v>
      </c>
      <c r="T184" t="str">
        <f t="shared" si="13"/>
        <v/>
      </c>
      <c r="U184" t="str">
        <f t="shared" si="14"/>
        <v/>
      </c>
      <c r="V184" t="str">
        <f t="shared" si="15"/>
        <v/>
      </c>
      <c r="W184" t="str">
        <f t="shared" si="16"/>
        <v/>
      </c>
    </row>
    <row r="185" spans="1:23" x14ac:dyDescent="0.3">
      <c r="A185" t="s">
        <v>434</v>
      </c>
      <c r="B185" s="1">
        <v>46272.648634756944</v>
      </c>
      <c r="C185" t="s">
        <v>231</v>
      </c>
      <c r="D185" t="s">
        <v>145</v>
      </c>
      <c r="E185" t="s">
        <v>64</v>
      </c>
      <c r="F185" t="s">
        <v>34</v>
      </c>
      <c r="G185" t="s">
        <v>22</v>
      </c>
      <c r="H185" t="s">
        <v>35</v>
      </c>
      <c r="I185" t="s">
        <v>232</v>
      </c>
      <c r="J185">
        <v>103</v>
      </c>
      <c r="K185" t="s">
        <v>283</v>
      </c>
      <c r="L185" t="s">
        <v>234</v>
      </c>
      <c r="M185">
        <v>103</v>
      </c>
      <c r="N185" t="s">
        <v>284</v>
      </c>
      <c r="O185" t="s">
        <v>435</v>
      </c>
      <c r="P185" t="s">
        <v>29</v>
      </c>
      <c r="Q185">
        <v>34128043255</v>
      </c>
      <c r="R185" s="2" t="str">
        <f t="shared" si="17"/>
        <v>python|A2|B1c|B2b|C1a</v>
      </c>
      <c r="S185" t="str">
        <f t="shared" si="18"/>
        <v>M</v>
      </c>
      <c r="T185" t="str">
        <f t="shared" si="13"/>
        <v>same</v>
      </c>
      <c r="U185" t="str">
        <f t="shared" si="14"/>
        <v/>
      </c>
      <c r="V185" t="str">
        <f t="shared" si="15"/>
        <v/>
      </c>
      <c r="W185" t="str">
        <f t="shared" si="16"/>
        <v/>
      </c>
    </row>
    <row r="186" spans="1:23" x14ac:dyDescent="0.3">
      <c r="A186" t="s">
        <v>436</v>
      </c>
      <c r="B186" s="1">
        <v>46272.649534039352</v>
      </c>
      <c r="C186" t="s">
        <v>231</v>
      </c>
      <c r="D186" t="s">
        <v>145</v>
      </c>
      <c r="E186" t="s">
        <v>64</v>
      </c>
      <c r="F186" t="s">
        <v>34</v>
      </c>
      <c r="G186" t="s">
        <v>238</v>
      </c>
      <c r="H186" t="s">
        <v>35</v>
      </c>
      <c r="I186" t="s">
        <v>232</v>
      </c>
      <c r="J186">
        <v>103</v>
      </c>
      <c r="K186" t="s">
        <v>283</v>
      </c>
      <c r="L186" t="s">
        <v>234</v>
      </c>
      <c r="M186">
        <v>103</v>
      </c>
      <c r="N186" t="s">
        <v>284</v>
      </c>
      <c r="O186" t="s">
        <v>437</v>
      </c>
      <c r="P186" t="s">
        <v>29</v>
      </c>
      <c r="Q186">
        <v>34128125622</v>
      </c>
      <c r="R186" s="2" t="str">
        <f t="shared" si="17"/>
        <v>python|A2|B1c|B2b|C1b</v>
      </c>
      <c r="S186" t="str">
        <f t="shared" si="18"/>
        <v>M</v>
      </c>
      <c r="T186" t="str">
        <f t="shared" si="13"/>
        <v/>
      </c>
      <c r="U186" t="str">
        <f t="shared" si="14"/>
        <v/>
      </c>
      <c r="V186" t="str">
        <f t="shared" si="15"/>
        <v/>
      </c>
      <c r="W186" t="str">
        <f t="shared" si="16"/>
        <v/>
      </c>
    </row>
    <row r="187" spans="1:23" x14ac:dyDescent="0.3">
      <c r="A187" t="s">
        <v>438</v>
      </c>
      <c r="B187" s="1">
        <v>46272.650138483797</v>
      </c>
      <c r="C187" t="s">
        <v>231</v>
      </c>
      <c r="D187" t="s">
        <v>145</v>
      </c>
      <c r="E187" t="s">
        <v>64</v>
      </c>
      <c r="F187" t="s">
        <v>34</v>
      </c>
      <c r="G187" t="s">
        <v>31</v>
      </c>
      <c r="H187" t="s">
        <v>35</v>
      </c>
      <c r="I187" t="s">
        <v>232</v>
      </c>
      <c r="J187">
        <v>103</v>
      </c>
      <c r="K187" t="s">
        <v>283</v>
      </c>
      <c r="L187" t="s">
        <v>234</v>
      </c>
      <c r="M187">
        <v>103</v>
      </c>
      <c r="N187" t="s">
        <v>284</v>
      </c>
      <c r="O187" t="s">
        <v>439</v>
      </c>
      <c r="P187" t="s">
        <v>29</v>
      </c>
      <c r="Q187">
        <v>34128252040</v>
      </c>
      <c r="R187" s="2" t="str">
        <f t="shared" si="17"/>
        <v>python|A2|B1c|B2b|C1c</v>
      </c>
      <c r="S187" t="str">
        <f t="shared" si="18"/>
        <v>M</v>
      </c>
      <c r="T187" t="str">
        <f t="shared" si="13"/>
        <v/>
      </c>
      <c r="U187" t="str">
        <f t="shared" si="14"/>
        <v/>
      </c>
      <c r="V187" t="str">
        <f t="shared" si="15"/>
        <v/>
      </c>
      <c r="W187" t="str">
        <f t="shared" si="16"/>
        <v/>
      </c>
    </row>
    <row r="188" spans="1:23" x14ac:dyDescent="0.3">
      <c r="A188" t="s">
        <v>440</v>
      </c>
      <c r="B188" s="1">
        <v>46272.650651840275</v>
      </c>
      <c r="C188" t="s">
        <v>231</v>
      </c>
      <c r="D188" t="s">
        <v>145</v>
      </c>
      <c r="E188" t="s">
        <v>64</v>
      </c>
      <c r="F188" t="s">
        <v>42</v>
      </c>
      <c r="G188" t="s">
        <v>22</v>
      </c>
      <c r="H188" t="s">
        <v>35</v>
      </c>
      <c r="I188" t="s">
        <v>232</v>
      </c>
      <c r="J188">
        <v>103</v>
      </c>
      <c r="K188" t="s">
        <v>283</v>
      </c>
      <c r="L188" t="s">
        <v>234</v>
      </c>
      <c r="M188">
        <v>103</v>
      </c>
      <c r="N188" t="s">
        <v>284</v>
      </c>
      <c r="O188" t="s">
        <v>441</v>
      </c>
      <c r="P188" t="s">
        <v>29</v>
      </c>
      <c r="Q188">
        <v>34128336811</v>
      </c>
      <c r="R188" s="2" t="str">
        <f t="shared" si="17"/>
        <v>python|A2|B1c|B2c|C1a</v>
      </c>
      <c r="S188" t="str">
        <f t="shared" si="18"/>
        <v>M</v>
      </c>
      <c r="T188" t="str">
        <f t="shared" si="13"/>
        <v>same</v>
      </c>
      <c r="U188" t="str">
        <f t="shared" si="14"/>
        <v/>
      </c>
      <c r="V188" t="str">
        <f t="shared" si="15"/>
        <v/>
      </c>
      <c r="W188" t="str">
        <f t="shared" si="16"/>
        <v/>
      </c>
    </row>
    <row r="189" spans="1:23" x14ac:dyDescent="0.3">
      <c r="A189" t="s">
        <v>442</v>
      </c>
      <c r="B189" s="1">
        <v>46272.651319780096</v>
      </c>
      <c r="C189" t="s">
        <v>231</v>
      </c>
      <c r="D189" t="s">
        <v>145</v>
      </c>
      <c r="E189" t="s">
        <v>64</v>
      </c>
      <c r="F189" t="s">
        <v>42</v>
      </c>
      <c r="G189" t="s">
        <v>238</v>
      </c>
      <c r="H189" t="s">
        <v>35</v>
      </c>
      <c r="I189" t="s">
        <v>232</v>
      </c>
      <c r="J189">
        <v>103</v>
      </c>
      <c r="K189" t="s">
        <v>283</v>
      </c>
      <c r="L189" t="s">
        <v>234</v>
      </c>
      <c r="M189">
        <v>103</v>
      </c>
      <c r="N189" t="s">
        <v>284</v>
      </c>
      <c r="O189" t="s">
        <v>443</v>
      </c>
      <c r="P189" t="s">
        <v>29</v>
      </c>
      <c r="Q189">
        <v>34128408528</v>
      </c>
      <c r="R189" s="2" t="str">
        <f t="shared" si="17"/>
        <v>python|A2|B1c|B2c|C1b</v>
      </c>
      <c r="S189" t="str">
        <f t="shared" si="18"/>
        <v>M</v>
      </c>
      <c r="T189" t="str">
        <f t="shared" si="13"/>
        <v/>
      </c>
      <c r="U189" t="str">
        <f t="shared" si="14"/>
        <v/>
      </c>
      <c r="V189" t="str">
        <f t="shared" si="15"/>
        <v/>
      </c>
      <c r="W189" t="str">
        <f t="shared" si="16"/>
        <v/>
      </c>
    </row>
    <row r="190" spans="1:23" x14ac:dyDescent="0.3">
      <c r="A190" t="s">
        <v>444</v>
      </c>
      <c r="B190" s="1">
        <v>46272.651895289353</v>
      </c>
      <c r="C190" t="s">
        <v>231</v>
      </c>
      <c r="D190" t="s">
        <v>145</v>
      </c>
      <c r="E190" t="s">
        <v>64</v>
      </c>
      <c r="F190" t="s">
        <v>42</v>
      </c>
      <c r="G190" t="s">
        <v>31</v>
      </c>
      <c r="H190" t="s">
        <v>35</v>
      </c>
      <c r="I190" t="s">
        <v>232</v>
      </c>
      <c r="J190">
        <v>103</v>
      </c>
      <c r="K190" t="s">
        <v>283</v>
      </c>
      <c r="L190" t="s">
        <v>234</v>
      </c>
      <c r="M190">
        <v>103</v>
      </c>
      <c r="N190" t="s">
        <v>284</v>
      </c>
      <c r="O190" t="s">
        <v>445</v>
      </c>
      <c r="P190" t="s">
        <v>29</v>
      </c>
      <c r="Q190">
        <v>34128496081</v>
      </c>
      <c r="R190" s="2" t="str">
        <f t="shared" si="17"/>
        <v>python|A2|B1c|B2c|C1c</v>
      </c>
      <c r="S190" t="str">
        <f t="shared" si="18"/>
        <v>M</v>
      </c>
      <c r="T190" t="str">
        <f t="shared" si="13"/>
        <v/>
      </c>
      <c r="U190" t="str">
        <f t="shared" si="14"/>
        <v/>
      </c>
      <c r="V190" t="str">
        <f t="shared" si="15"/>
        <v/>
      </c>
      <c r="W190" t="str">
        <f t="shared" si="16"/>
        <v/>
      </c>
    </row>
    <row r="191" spans="1:23" x14ac:dyDescent="0.3">
      <c r="A191" t="s">
        <v>446</v>
      </c>
      <c r="B191" s="1">
        <v>46272.652412800926</v>
      </c>
      <c r="C191" t="s">
        <v>231</v>
      </c>
      <c r="D191" t="s">
        <v>145</v>
      </c>
      <c r="E191" t="s">
        <v>79</v>
      </c>
      <c r="F191" t="s">
        <v>21</v>
      </c>
      <c r="G191" t="s">
        <v>22</v>
      </c>
      <c r="H191" t="s">
        <v>48</v>
      </c>
      <c r="I191" t="s">
        <v>49</v>
      </c>
      <c r="K191" t="s">
        <v>49</v>
      </c>
      <c r="L191" t="s">
        <v>49</v>
      </c>
      <c r="N191" t="s">
        <v>49</v>
      </c>
      <c r="O191" t="s">
        <v>447</v>
      </c>
      <c r="P191" t="s">
        <v>29</v>
      </c>
      <c r="Q191">
        <v>34128569731</v>
      </c>
      <c r="R191" s="2" t="str">
        <f t="shared" si="17"/>
        <v>python|A2|B1d|B2a|C1a</v>
      </c>
      <c r="S191" t="str">
        <f t="shared" si="18"/>
        <v>E</v>
      </c>
      <c r="T191" t="str">
        <f t="shared" si="13"/>
        <v>same</v>
      </c>
      <c r="U191" t="str">
        <f t="shared" si="14"/>
        <v/>
      </c>
      <c r="V191" t="str">
        <f t="shared" si="15"/>
        <v/>
      </c>
      <c r="W191" t="str">
        <f t="shared" si="16"/>
        <v/>
      </c>
    </row>
    <row r="192" spans="1:23" x14ac:dyDescent="0.3">
      <c r="A192" t="s">
        <v>448</v>
      </c>
      <c r="B192" s="1">
        <v>46272.652950856478</v>
      </c>
      <c r="C192" t="s">
        <v>231</v>
      </c>
      <c r="D192" t="s">
        <v>145</v>
      </c>
      <c r="E192" t="s">
        <v>79</v>
      </c>
      <c r="F192" t="s">
        <v>21</v>
      </c>
      <c r="G192" t="s">
        <v>238</v>
      </c>
      <c r="H192" t="s">
        <v>48</v>
      </c>
      <c r="I192" t="s">
        <v>49</v>
      </c>
      <c r="K192" t="s">
        <v>49</v>
      </c>
      <c r="L192" t="s">
        <v>49</v>
      </c>
      <c r="N192" t="s">
        <v>49</v>
      </c>
      <c r="O192" t="s">
        <v>449</v>
      </c>
      <c r="P192" t="s">
        <v>29</v>
      </c>
      <c r="Q192">
        <v>34128637602</v>
      </c>
      <c r="R192" s="2" t="str">
        <f t="shared" si="17"/>
        <v>python|A2|B1d|B2a|C1b</v>
      </c>
      <c r="S192" t="str">
        <f t="shared" si="18"/>
        <v>E</v>
      </c>
      <c r="T192" t="str">
        <f t="shared" si="13"/>
        <v/>
      </c>
      <c r="U192" t="str">
        <f t="shared" si="14"/>
        <v/>
      </c>
      <c r="V192" t="str">
        <f t="shared" si="15"/>
        <v/>
      </c>
      <c r="W192" t="str">
        <f t="shared" si="16"/>
        <v/>
      </c>
    </row>
    <row r="193" spans="1:23" x14ac:dyDescent="0.3">
      <c r="A193" t="s">
        <v>450</v>
      </c>
      <c r="B193" s="1">
        <v>46272.653525578702</v>
      </c>
      <c r="C193" t="s">
        <v>231</v>
      </c>
      <c r="D193" t="s">
        <v>145</v>
      </c>
      <c r="E193" t="s">
        <v>79</v>
      </c>
      <c r="F193" t="s">
        <v>21</v>
      </c>
      <c r="G193" t="s">
        <v>31</v>
      </c>
      <c r="H193" t="s">
        <v>48</v>
      </c>
      <c r="I193" t="s">
        <v>49</v>
      </c>
      <c r="K193" t="s">
        <v>49</v>
      </c>
      <c r="L193" t="s">
        <v>49</v>
      </c>
      <c r="N193" t="s">
        <v>49</v>
      </c>
      <c r="O193" t="s">
        <v>451</v>
      </c>
      <c r="P193" t="s">
        <v>29</v>
      </c>
      <c r="Q193">
        <v>34128710753</v>
      </c>
      <c r="R193" s="2" t="str">
        <f t="shared" si="17"/>
        <v>python|A2|B1d|B2a|C1c</v>
      </c>
      <c r="S193" t="str">
        <f t="shared" si="18"/>
        <v>E</v>
      </c>
      <c r="T193" t="str">
        <f t="shared" si="13"/>
        <v/>
      </c>
      <c r="U193" t="str">
        <f t="shared" si="14"/>
        <v/>
      </c>
      <c r="V193" t="str">
        <f t="shared" si="15"/>
        <v/>
      </c>
      <c r="W193" t="str">
        <f t="shared" si="16"/>
        <v/>
      </c>
    </row>
    <row r="194" spans="1:23" x14ac:dyDescent="0.3">
      <c r="A194" t="s">
        <v>452</v>
      </c>
      <c r="B194" s="1">
        <v>46272.654101145832</v>
      </c>
      <c r="C194" t="s">
        <v>231</v>
      </c>
      <c r="D194" t="s">
        <v>145</v>
      </c>
      <c r="E194" t="s">
        <v>79</v>
      </c>
      <c r="F194" t="s">
        <v>34</v>
      </c>
      <c r="G194" t="s">
        <v>22</v>
      </c>
      <c r="H194" t="s">
        <v>35</v>
      </c>
      <c r="I194" t="s">
        <v>232</v>
      </c>
      <c r="J194">
        <v>103</v>
      </c>
      <c r="K194" t="s">
        <v>263</v>
      </c>
      <c r="L194" t="s">
        <v>234</v>
      </c>
      <c r="M194">
        <v>103</v>
      </c>
      <c r="N194" t="s">
        <v>264</v>
      </c>
      <c r="O194" t="s">
        <v>453</v>
      </c>
      <c r="P194" t="s">
        <v>29</v>
      </c>
      <c r="Q194">
        <v>34128788107</v>
      </c>
      <c r="R194" s="2" t="str">
        <f t="shared" si="17"/>
        <v>python|A2|B1d|B2b|C1a</v>
      </c>
      <c r="S194" t="str">
        <f t="shared" si="18"/>
        <v>M</v>
      </c>
      <c r="T194" t="str">
        <f t="shared" ref="T194:T257" si="19">IF(G194="C1a",IF(H194=VLOOKUP(SUBSTITUTE(A194,"_C1a","_C1c"),$A:$H,8,FALSE),"same","DIFF"),"")</f>
        <v>same</v>
      </c>
      <c r="U194" t="str">
        <f t="shared" ref="U194:U257" si="20">IF(AND(C194="nodejs",E194="B1b"),IF(H194=VLOOKUP(SUBSTITUTE(A194,"_B1b_","_B1d_"),$A:$H,8,FALSE),"same","DIFF"),"")</f>
        <v/>
      </c>
      <c r="V194" t="str">
        <f t="shared" ref="V194:V257" si="21">IF(AND(C194="nodejs",E194="B1c",H194&lt;&gt;"invalid_configuration"),IF(H194=VLOOKUP(SUBSTITUTE(A194,"_B1c_","_B1b_"),$A:$H,8,FALSE),"same","DIFF"),"")</f>
        <v/>
      </c>
      <c r="W194" t="str">
        <f t="shared" ref="W194:W257" si="22">IF(D194="A1a",IF(H194=VLOOKUP(SUBSTITUTE(A194,"_A1a_","_A1b_"),$A:$H,8,FALSE),"same","DIFF"),"")</f>
        <v/>
      </c>
    </row>
    <row r="195" spans="1:23" x14ac:dyDescent="0.3">
      <c r="A195" t="s">
        <v>454</v>
      </c>
      <c r="B195" s="1">
        <v>46272.654630428238</v>
      </c>
      <c r="C195" t="s">
        <v>231</v>
      </c>
      <c r="D195" t="s">
        <v>145</v>
      </c>
      <c r="E195" t="s">
        <v>79</v>
      </c>
      <c r="F195" t="s">
        <v>34</v>
      </c>
      <c r="G195" t="s">
        <v>238</v>
      </c>
      <c r="H195" t="s">
        <v>48</v>
      </c>
      <c r="I195" t="s">
        <v>49</v>
      </c>
      <c r="K195" t="s">
        <v>49</v>
      </c>
      <c r="L195" t="s">
        <v>49</v>
      </c>
      <c r="N195" t="s">
        <v>49</v>
      </c>
      <c r="O195" t="s">
        <v>455</v>
      </c>
      <c r="P195" t="s">
        <v>29</v>
      </c>
      <c r="Q195">
        <v>34128867008</v>
      </c>
      <c r="R195" s="2" t="str">
        <f t="shared" ref="R195:R258" si="23">C195&amp;"|"&amp;D195&amp;"|"&amp;E195&amp;"|"&amp;F195&amp;"|"&amp;G195</f>
        <v>python|A2|B1d|B2b|C1b</v>
      </c>
      <c r="S195" t="str">
        <f t="shared" ref="S195:S258" si="24">IF(H195="malicious_resolved","M",IF(H195="private_resolved","P",IF(H195="resolution_error","E","-")))</f>
        <v>E</v>
      </c>
      <c r="T195" t="str">
        <f t="shared" si="19"/>
        <v/>
      </c>
      <c r="U195" t="str">
        <f t="shared" si="20"/>
        <v/>
      </c>
      <c r="V195" t="str">
        <f t="shared" si="21"/>
        <v/>
      </c>
      <c r="W195" t="str">
        <f t="shared" si="22"/>
        <v/>
      </c>
    </row>
    <row r="196" spans="1:23" x14ac:dyDescent="0.3">
      <c r="A196" t="s">
        <v>456</v>
      </c>
      <c r="B196" s="1">
        <v>46272.65520321759</v>
      </c>
      <c r="C196" t="s">
        <v>231</v>
      </c>
      <c r="D196" t="s">
        <v>145</v>
      </c>
      <c r="E196" t="s">
        <v>79</v>
      </c>
      <c r="F196" t="s">
        <v>34</v>
      </c>
      <c r="G196" t="s">
        <v>31</v>
      </c>
      <c r="H196" t="s">
        <v>35</v>
      </c>
      <c r="I196" t="s">
        <v>232</v>
      </c>
      <c r="J196">
        <v>103</v>
      </c>
      <c r="K196" t="s">
        <v>263</v>
      </c>
      <c r="L196" t="s">
        <v>234</v>
      </c>
      <c r="M196">
        <v>103</v>
      </c>
      <c r="N196" t="s">
        <v>264</v>
      </c>
      <c r="O196" t="s">
        <v>457</v>
      </c>
      <c r="P196" t="s">
        <v>29</v>
      </c>
      <c r="Q196">
        <v>34128938438</v>
      </c>
      <c r="R196" s="2" t="str">
        <f t="shared" si="23"/>
        <v>python|A2|B1d|B2b|C1c</v>
      </c>
      <c r="S196" t="str">
        <f t="shared" si="24"/>
        <v>M</v>
      </c>
      <c r="T196" t="str">
        <f t="shared" si="19"/>
        <v/>
      </c>
      <c r="U196" t="str">
        <f t="shared" si="20"/>
        <v/>
      </c>
      <c r="V196" t="str">
        <f t="shared" si="21"/>
        <v/>
      </c>
      <c r="W196" t="str">
        <f t="shared" si="22"/>
        <v/>
      </c>
    </row>
    <row r="197" spans="1:23" x14ac:dyDescent="0.3">
      <c r="A197" t="s">
        <v>458</v>
      </c>
      <c r="B197" s="1">
        <v>46272.655762719907</v>
      </c>
      <c r="C197" t="s">
        <v>231</v>
      </c>
      <c r="D197" t="s">
        <v>145</v>
      </c>
      <c r="E197" t="s">
        <v>79</v>
      </c>
      <c r="F197" t="s">
        <v>42</v>
      </c>
      <c r="G197" t="s">
        <v>22</v>
      </c>
      <c r="H197" t="s">
        <v>35</v>
      </c>
      <c r="I197" t="s">
        <v>232</v>
      </c>
      <c r="J197">
        <v>103</v>
      </c>
      <c r="K197" t="s">
        <v>263</v>
      </c>
      <c r="L197" t="s">
        <v>234</v>
      </c>
      <c r="M197">
        <v>103</v>
      </c>
      <c r="N197" t="s">
        <v>264</v>
      </c>
      <c r="O197" t="s">
        <v>459</v>
      </c>
      <c r="P197" t="s">
        <v>29</v>
      </c>
      <c r="Q197">
        <v>34129016026</v>
      </c>
      <c r="R197" s="2" t="str">
        <f t="shared" si="23"/>
        <v>python|A2|B1d|B2c|C1a</v>
      </c>
      <c r="S197" t="str">
        <f t="shared" si="24"/>
        <v>M</v>
      </c>
      <c r="T197" t="str">
        <f t="shared" si="19"/>
        <v>same</v>
      </c>
      <c r="U197" t="str">
        <f t="shared" si="20"/>
        <v/>
      </c>
      <c r="V197" t="str">
        <f t="shared" si="21"/>
        <v/>
      </c>
      <c r="W197" t="str">
        <f t="shared" si="22"/>
        <v/>
      </c>
    </row>
    <row r="198" spans="1:23" x14ac:dyDescent="0.3">
      <c r="A198" t="s">
        <v>460</v>
      </c>
      <c r="B198" s="1">
        <v>46272.656301192132</v>
      </c>
      <c r="C198" t="s">
        <v>231</v>
      </c>
      <c r="D198" t="s">
        <v>145</v>
      </c>
      <c r="E198" t="s">
        <v>79</v>
      </c>
      <c r="F198" t="s">
        <v>42</v>
      </c>
      <c r="G198" t="s">
        <v>238</v>
      </c>
      <c r="H198" t="s">
        <v>48</v>
      </c>
      <c r="I198" t="s">
        <v>49</v>
      </c>
      <c r="K198" t="s">
        <v>49</v>
      </c>
      <c r="L198" t="s">
        <v>49</v>
      </c>
      <c r="N198" t="s">
        <v>49</v>
      </c>
      <c r="O198" t="s">
        <v>461</v>
      </c>
      <c r="P198" t="s">
        <v>29</v>
      </c>
      <c r="Q198">
        <v>34129090181</v>
      </c>
      <c r="R198" s="2" t="str">
        <f t="shared" si="23"/>
        <v>python|A2|B1d|B2c|C1b</v>
      </c>
      <c r="S198" t="str">
        <f t="shared" si="24"/>
        <v>E</v>
      </c>
      <c r="T198" t="str">
        <f t="shared" si="19"/>
        <v/>
      </c>
      <c r="U198" t="str">
        <f t="shared" si="20"/>
        <v/>
      </c>
      <c r="V198" t="str">
        <f t="shared" si="21"/>
        <v/>
      </c>
      <c r="W198" t="str">
        <f t="shared" si="22"/>
        <v/>
      </c>
    </row>
    <row r="199" spans="1:23" x14ac:dyDescent="0.3">
      <c r="A199" t="s">
        <v>462</v>
      </c>
      <c r="B199" s="1">
        <v>46272.656874039349</v>
      </c>
      <c r="C199" t="s">
        <v>231</v>
      </c>
      <c r="D199" t="s">
        <v>145</v>
      </c>
      <c r="E199" t="s">
        <v>79</v>
      </c>
      <c r="F199" t="s">
        <v>42</v>
      </c>
      <c r="G199" t="s">
        <v>31</v>
      </c>
      <c r="H199" t="s">
        <v>35</v>
      </c>
      <c r="I199" t="s">
        <v>232</v>
      </c>
      <c r="J199">
        <v>103</v>
      </c>
      <c r="K199" t="s">
        <v>263</v>
      </c>
      <c r="L199" t="s">
        <v>234</v>
      </c>
      <c r="M199">
        <v>103</v>
      </c>
      <c r="N199" t="s">
        <v>264</v>
      </c>
      <c r="O199" t="s">
        <v>463</v>
      </c>
      <c r="P199" t="s">
        <v>29</v>
      </c>
      <c r="Q199">
        <v>34129162109</v>
      </c>
      <c r="R199" s="2" t="str">
        <f t="shared" si="23"/>
        <v>python|A2|B1d|B2c|C1c</v>
      </c>
      <c r="S199" t="str">
        <f t="shared" si="24"/>
        <v>M</v>
      </c>
      <c r="T199" t="str">
        <f t="shared" si="19"/>
        <v/>
      </c>
      <c r="U199" t="str">
        <f t="shared" si="20"/>
        <v/>
      </c>
      <c r="V199" t="str">
        <f t="shared" si="21"/>
        <v/>
      </c>
      <c r="W199" t="str">
        <f t="shared" si="22"/>
        <v/>
      </c>
    </row>
    <row r="200" spans="1:23" x14ac:dyDescent="0.3">
      <c r="A200" t="s">
        <v>464</v>
      </c>
      <c r="B200" s="1">
        <v>46272.657357407406</v>
      </c>
      <c r="C200" t="s">
        <v>231</v>
      </c>
      <c r="D200" t="s">
        <v>194</v>
      </c>
      <c r="E200" t="s">
        <v>20</v>
      </c>
      <c r="F200" t="s">
        <v>21</v>
      </c>
      <c r="G200" t="s">
        <v>22</v>
      </c>
      <c r="H200" t="s">
        <v>48</v>
      </c>
      <c r="I200" t="s">
        <v>49</v>
      </c>
      <c r="K200" t="s">
        <v>49</v>
      </c>
      <c r="L200" t="s">
        <v>49</v>
      </c>
      <c r="N200" t="s">
        <v>49</v>
      </c>
      <c r="O200" t="s">
        <v>465</v>
      </c>
      <c r="P200" t="s">
        <v>29</v>
      </c>
      <c r="Q200">
        <v>34129240078</v>
      </c>
      <c r="R200" s="2" t="str">
        <f t="shared" si="23"/>
        <v>python|A3|B1a|B2a|C1a</v>
      </c>
      <c r="S200" t="str">
        <f t="shared" si="24"/>
        <v>E</v>
      </c>
      <c r="T200" t="str">
        <f t="shared" si="19"/>
        <v>same</v>
      </c>
      <c r="U200" t="str">
        <f t="shared" si="20"/>
        <v/>
      </c>
      <c r="V200" t="str">
        <f t="shared" si="21"/>
        <v/>
      </c>
      <c r="W200" t="str">
        <f t="shared" si="22"/>
        <v/>
      </c>
    </row>
    <row r="201" spans="1:23" x14ac:dyDescent="0.3">
      <c r="A201" t="s">
        <v>466</v>
      </c>
      <c r="B201" s="1">
        <v>46272.657828425923</v>
      </c>
      <c r="C201" t="s">
        <v>231</v>
      </c>
      <c r="D201" t="s">
        <v>194</v>
      </c>
      <c r="E201" t="s">
        <v>20</v>
      </c>
      <c r="F201" t="s">
        <v>21</v>
      </c>
      <c r="G201" t="s">
        <v>238</v>
      </c>
      <c r="H201" t="s">
        <v>48</v>
      </c>
      <c r="I201" t="s">
        <v>49</v>
      </c>
      <c r="K201" t="s">
        <v>49</v>
      </c>
      <c r="L201" t="s">
        <v>49</v>
      </c>
      <c r="N201" t="s">
        <v>49</v>
      </c>
      <c r="O201" t="s">
        <v>467</v>
      </c>
      <c r="P201" t="s">
        <v>29</v>
      </c>
      <c r="Q201">
        <v>34129306949</v>
      </c>
      <c r="R201" s="2" t="str">
        <f t="shared" si="23"/>
        <v>python|A3|B1a|B2a|C1b</v>
      </c>
      <c r="S201" t="str">
        <f t="shared" si="24"/>
        <v>E</v>
      </c>
      <c r="T201" t="str">
        <f t="shared" si="19"/>
        <v/>
      </c>
      <c r="U201" t="str">
        <f t="shared" si="20"/>
        <v/>
      </c>
      <c r="V201" t="str">
        <f t="shared" si="21"/>
        <v/>
      </c>
      <c r="W201" t="str">
        <f t="shared" si="22"/>
        <v/>
      </c>
    </row>
    <row r="202" spans="1:23" x14ac:dyDescent="0.3">
      <c r="A202" t="s">
        <v>468</v>
      </c>
      <c r="B202" s="1">
        <v>46272.658300289353</v>
      </c>
      <c r="C202" t="s">
        <v>231</v>
      </c>
      <c r="D202" t="s">
        <v>194</v>
      </c>
      <c r="E202" t="s">
        <v>20</v>
      </c>
      <c r="F202" t="s">
        <v>21</v>
      </c>
      <c r="G202" t="s">
        <v>31</v>
      </c>
      <c r="H202" t="s">
        <v>48</v>
      </c>
      <c r="I202" t="s">
        <v>49</v>
      </c>
      <c r="K202" t="s">
        <v>49</v>
      </c>
      <c r="L202" t="s">
        <v>49</v>
      </c>
      <c r="N202" t="s">
        <v>49</v>
      </c>
      <c r="O202" t="s">
        <v>469</v>
      </c>
      <c r="P202" t="s">
        <v>29</v>
      </c>
      <c r="Q202">
        <v>34129369585</v>
      </c>
      <c r="R202" s="2" t="str">
        <f t="shared" si="23"/>
        <v>python|A3|B1a|B2a|C1c</v>
      </c>
      <c r="S202" t="str">
        <f t="shared" si="24"/>
        <v>E</v>
      </c>
      <c r="T202" t="str">
        <f t="shared" si="19"/>
        <v/>
      </c>
      <c r="U202" t="str">
        <f t="shared" si="20"/>
        <v/>
      </c>
      <c r="V202" t="str">
        <f t="shared" si="21"/>
        <v/>
      </c>
      <c r="W202" t="str">
        <f t="shared" si="22"/>
        <v/>
      </c>
    </row>
    <row r="203" spans="1:23" x14ac:dyDescent="0.3">
      <c r="A203" t="s">
        <v>470</v>
      </c>
      <c r="B203" s="1">
        <v>46272.658763946762</v>
      </c>
      <c r="C203" t="s">
        <v>231</v>
      </c>
      <c r="D203" t="s">
        <v>194</v>
      </c>
      <c r="E203" t="s">
        <v>20</v>
      </c>
      <c r="F203" t="s">
        <v>34</v>
      </c>
      <c r="G203" t="s">
        <v>22</v>
      </c>
      <c r="H203" t="s">
        <v>48</v>
      </c>
      <c r="I203" t="s">
        <v>49</v>
      </c>
      <c r="K203" t="s">
        <v>49</v>
      </c>
      <c r="L203" t="s">
        <v>49</v>
      </c>
      <c r="N203" t="s">
        <v>49</v>
      </c>
      <c r="O203" t="s">
        <v>471</v>
      </c>
      <c r="P203" t="s">
        <v>29</v>
      </c>
      <c r="Q203">
        <v>34129435551</v>
      </c>
      <c r="R203" s="2" t="str">
        <f t="shared" si="23"/>
        <v>python|A3|B1a|B2b|C1a</v>
      </c>
      <c r="S203" t="str">
        <f t="shared" si="24"/>
        <v>E</v>
      </c>
      <c r="T203" t="str">
        <f t="shared" si="19"/>
        <v>same</v>
      </c>
      <c r="U203" t="str">
        <f t="shared" si="20"/>
        <v/>
      </c>
      <c r="V203" t="str">
        <f t="shared" si="21"/>
        <v/>
      </c>
      <c r="W203" t="str">
        <f t="shared" si="22"/>
        <v/>
      </c>
    </row>
    <row r="204" spans="1:23" x14ac:dyDescent="0.3">
      <c r="A204" t="s">
        <v>472</v>
      </c>
      <c r="B204" s="1">
        <v>46272.659216400461</v>
      </c>
      <c r="C204" t="s">
        <v>231</v>
      </c>
      <c r="D204" t="s">
        <v>194</v>
      </c>
      <c r="E204" t="s">
        <v>20</v>
      </c>
      <c r="F204" t="s">
        <v>34</v>
      </c>
      <c r="G204" t="s">
        <v>238</v>
      </c>
      <c r="H204" t="s">
        <v>48</v>
      </c>
      <c r="I204" t="s">
        <v>49</v>
      </c>
      <c r="K204" t="s">
        <v>49</v>
      </c>
      <c r="L204" t="s">
        <v>49</v>
      </c>
      <c r="N204" t="s">
        <v>49</v>
      </c>
      <c r="O204" t="s">
        <v>473</v>
      </c>
      <c r="P204" t="s">
        <v>29</v>
      </c>
      <c r="Q204">
        <v>34129498739</v>
      </c>
      <c r="R204" s="2" t="str">
        <f t="shared" si="23"/>
        <v>python|A3|B1a|B2b|C1b</v>
      </c>
      <c r="S204" t="str">
        <f t="shared" si="24"/>
        <v>E</v>
      </c>
      <c r="T204" t="str">
        <f t="shared" si="19"/>
        <v/>
      </c>
      <c r="U204" t="str">
        <f t="shared" si="20"/>
        <v/>
      </c>
      <c r="V204" t="str">
        <f t="shared" si="21"/>
        <v/>
      </c>
      <c r="W204" t="str">
        <f t="shared" si="22"/>
        <v/>
      </c>
    </row>
    <row r="205" spans="1:23" x14ac:dyDescent="0.3">
      <c r="A205" t="s">
        <v>474</v>
      </c>
      <c r="B205" s="1">
        <v>46272.659688993059</v>
      </c>
      <c r="C205" t="s">
        <v>231</v>
      </c>
      <c r="D205" t="s">
        <v>194</v>
      </c>
      <c r="E205" t="s">
        <v>20</v>
      </c>
      <c r="F205" t="s">
        <v>34</v>
      </c>
      <c r="G205" t="s">
        <v>31</v>
      </c>
      <c r="H205" t="s">
        <v>48</v>
      </c>
      <c r="I205" t="s">
        <v>49</v>
      </c>
      <c r="K205" t="s">
        <v>49</v>
      </c>
      <c r="L205" t="s">
        <v>49</v>
      </c>
      <c r="N205" t="s">
        <v>49</v>
      </c>
      <c r="O205" t="s">
        <v>475</v>
      </c>
      <c r="P205" t="s">
        <v>29</v>
      </c>
      <c r="Q205">
        <v>34129557934</v>
      </c>
      <c r="R205" s="2" t="str">
        <f t="shared" si="23"/>
        <v>python|A3|B1a|B2b|C1c</v>
      </c>
      <c r="S205" t="str">
        <f t="shared" si="24"/>
        <v>E</v>
      </c>
      <c r="T205" t="str">
        <f t="shared" si="19"/>
        <v/>
      </c>
      <c r="U205" t="str">
        <f t="shared" si="20"/>
        <v/>
      </c>
      <c r="V205" t="str">
        <f t="shared" si="21"/>
        <v/>
      </c>
      <c r="W205" t="str">
        <f t="shared" si="22"/>
        <v/>
      </c>
    </row>
    <row r="206" spans="1:23" x14ac:dyDescent="0.3">
      <c r="A206" t="s">
        <v>476</v>
      </c>
      <c r="B206" s="1">
        <v>46272.660106261574</v>
      </c>
      <c r="C206" t="s">
        <v>231</v>
      </c>
      <c r="D206" t="s">
        <v>194</v>
      </c>
      <c r="E206" t="s">
        <v>20</v>
      </c>
      <c r="F206" t="s">
        <v>42</v>
      </c>
      <c r="G206" t="s">
        <v>22</v>
      </c>
      <c r="H206" t="s">
        <v>48</v>
      </c>
      <c r="I206" t="s">
        <v>49</v>
      </c>
      <c r="K206" t="s">
        <v>49</v>
      </c>
      <c r="L206" t="s">
        <v>49</v>
      </c>
      <c r="N206" t="s">
        <v>49</v>
      </c>
      <c r="O206" t="s">
        <v>477</v>
      </c>
      <c r="P206" t="s">
        <v>29</v>
      </c>
      <c r="Q206">
        <v>34129621360</v>
      </c>
      <c r="R206" s="2" t="str">
        <f t="shared" si="23"/>
        <v>python|A3|B1a|B2c|C1a</v>
      </c>
      <c r="S206" t="str">
        <f t="shared" si="24"/>
        <v>E</v>
      </c>
      <c r="T206" t="str">
        <f t="shared" si="19"/>
        <v>same</v>
      </c>
      <c r="U206" t="str">
        <f t="shared" si="20"/>
        <v/>
      </c>
      <c r="V206" t="str">
        <f t="shared" si="21"/>
        <v/>
      </c>
      <c r="W206" t="str">
        <f t="shared" si="22"/>
        <v/>
      </c>
    </row>
    <row r="207" spans="1:23" x14ac:dyDescent="0.3">
      <c r="A207" t="s">
        <v>478</v>
      </c>
      <c r="B207" s="1">
        <v>46272.660503159721</v>
      </c>
      <c r="C207" t="s">
        <v>231</v>
      </c>
      <c r="D207" t="s">
        <v>194</v>
      </c>
      <c r="E207" t="s">
        <v>20</v>
      </c>
      <c r="F207" t="s">
        <v>42</v>
      </c>
      <c r="G207" t="s">
        <v>238</v>
      </c>
      <c r="H207" t="s">
        <v>48</v>
      </c>
      <c r="I207" t="s">
        <v>49</v>
      </c>
      <c r="K207" t="s">
        <v>49</v>
      </c>
      <c r="L207" t="s">
        <v>49</v>
      </c>
      <c r="N207" t="s">
        <v>49</v>
      </c>
      <c r="O207" t="s">
        <v>479</v>
      </c>
      <c r="P207" t="s">
        <v>29</v>
      </c>
      <c r="Q207">
        <v>34129676402</v>
      </c>
      <c r="R207" s="2" t="str">
        <f t="shared" si="23"/>
        <v>python|A3|B1a|B2c|C1b</v>
      </c>
      <c r="S207" t="str">
        <f t="shared" si="24"/>
        <v>E</v>
      </c>
      <c r="T207" t="str">
        <f t="shared" si="19"/>
        <v/>
      </c>
      <c r="U207" t="str">
        <f t="shared" si="20"/>
        <v/>
      </c>
      <c r="V207" t="str">
        <f t="shared" si="21"/>
        <v/>
      </c>
      <c r="W207" t="str">
        <f t="shared" si="22"/>
        <v/>
      </c>
    </row>
    <row r="208" spans="1:23" x14ac:dyDescent="0.3">
      <c r="A208" t="s">
        <v>480</v>
      </c>
      <c r="B208" s="1">
        <v>46272.660962199072</v>
      </c>
      <c r="C208" t="s">
        <v>231</v>
      </c>
      <c r="D208" t="s">
        <v>194</v>
      </c>
      <c r="E208" t="s">
        <v>20</v>
      </c>
      <c r="F208" t="s">
        <v>42</v>
      </c>
      <c r="G208" t="s">
        <v>31</v>
      </c>
      <c r="H208" t="s">
        <v>48</v>
      </c>
      <c r="I208" t="s">
        <v>49</v>
      </c>
      <c r="K208" t="s">
        <v>49</v>
      </c>
      <c r="L208" t="s">
        <v>49</v>
      </c>
      <c r="N208" t="s">
        <v>49</v>
      </c>
      <c r="O208" t="s">
        <v>481</v>
      </c>
      <c r="P208" t="s">
        <v>29</v>
      </c>
      <c r="Q208">
        <v>34129727046</v>
      </c>
      <c r="R208" s="2" t="str">
        <f t="shared" si="23"/>
        <v>python|A3|B1a|B2c|C1c</v>
      </c>
      <c r="S208" t="str">
        <f t="shared" si="24"/>
        <v>E</v>
      </c>
      <c r="T208" t="str">
        <f t="shared" si="19"/>
        <v/>
      </c>
      <c r="U208" t="str">
        <f t="shared" si="20"/>
        <v/>
      </c>
      <c r="V208" t="str">
        <f t="shared" si="21"/>
        <v/>
      </c>
      <c r="W208" t="str">
        <f t="shared" si="22"/>
        <v/>
      </c>
    </row>
    <row r="209" spans="1:23" x14ac:dyDescent="0.3">
      <c r="A209" t="s">
        <v>482</v>
      </c>
      <c r="B209" s="1">
        <v>46272.661529618053</v>
      </c>
      <c r="C209" t="s">
        <v>231</v>
      </c>
      <c r="D209" t="s">
        <v>194</v>
      </c>
      <c r="E209" t="s">
        <v>47</v>
      </c>
      <c r="F209" t="s">
        <v>21</v>
      </c>
      <c r="G209" t="s">
        <v>22</v>
      </c>
      <c r="H209" t="s">
        <v>23</v>
      </c>
      <c r="I209" t="s">
        <v>232</v>
      </c>
      <c r="J209">
        <v>100</v>
      </c>
      <c r="K209" t="s">
        <v>409</v>
      </c>
      <c r="L209" t="s">
        <v>234</v>
      </c>
      <c r="M209">
        <v>100</v>
      </c>
      <c r="N209" t="s">
        <v>410</v>
      </c>
      <c r="O209" t="s">
        <v>483</v>
      </c>
      <c r="P209" t="s">
        <v>29</v>
      </c>
      <c r="Q209">
        <v>34129787012</v>
      </c>
      <c r="R209" s="2" t="str">
        <f t="shared" si="23"/>
        <v>python|A3|B1b|B2a|C1a</v>
      </c>
      <c r="S209" t="str">
        <f t="shared" si="24"/>
        <v>P</v>
      </c>
      <c r="T209" t="str">
        <f t="shared" si="19"/>
        <v>same</v>
      </c>
      <c r="U209" t="str">
        <f t="shared" si="20"/>
        <v/>
      </c>
      <c r="V209" t="str">
        <f t="shared" si="21"/>
        <v/>
      </c>
      <c r="W209" t="str">
        <f t="shared" si="22"/>
        <v/>
      </c>
    </row>
    <row r="210" spans="1:23" x14ac:dyDescent="0.3">
      <c r="A210" t="s">
        <v>484</v>
      </c>
      <c r="B210" s="1">
        <v>46272.662133379628</v>
      </c>
      <c r="C210" t="s">
        <v>231</v>
      </c>
      <c r="D210" t="s">
        <v>194</v>
      </c>
      <c r="E210" t="s">
        <v>47</v>
      </c>
      <c r="F210" t="s">
        <v>21</v>
      </c>
      <c r="G210" t="s">
        <v>238</v>
      </c>
      <c r="H210" t="s">
        <v>23</v>
      </c>
      <c r="I210" t="s">
        <v>232</v>
      </c>
      <c r="J210">
        <v>100</v>
      </c>
      <c r="K210" t="s">
        <v>409</v>
      </c>
      <c r="L210" t="s">
        <v>234</v>
      </c>
      <c r="M210">
        <v>100</v>
      </c>
      <c r="N210" t="s">
        <v>410</v>
      </c>
      <c r="O210" t="s">
        <v>485</v>
      </c>
      <c r="P210" t="s">
        <v>29</v>
      </c>
      <c r="Q210">
        <v>34129863419</v>
      </c>
      <c r="R210" s="2" t="str">
        <f t="shared" si="23"/>
        <v>python|A3|B1b|B2a|C1b</v>
      </c>
      <c r="S210" t="str">
        <f t="shared" si="24"/>
        <v>P</v>
      </c>
      <c r="T210" t="str">
        <f t="shared" si="19"/>
        <v/>
      </c>
      <c r="U210" t="str">
        <f t="shared" si="20"/>
        <v/>
      </c>
      <c r="V210" t="str">
        <f t="shared" si="21"/>
        <v/>
      </c>
      <c r="W210" t="str">
        <f t="shared" si="22"/>
        <v/>
      </c>
    </row>
    <row r="211" spans="1:23" x14ac:dyDescent="0.3">
      <c r="A211" t="s">
        <v>486</v>
      </c>
      <c r="B211" s="1">
        <v>46272.662734768521</v>
      </c>
      <c r="C211" t="s">
        <v>231</v>
      </c>
      <c r="D211" t="s">
        <v>194</v>
      </c>
      <c r="E211" t="s">
        <v>47</v>
      </c>
      <c r="F211" t="s">
        <v>21</v>
      </c>
      <c r="G211" t="s">
        <v>31</v>
      </c>
      <c r="H211" t="s">
        <v>23</v>
      </c>
      <c r="I211" t="s">
        <v>232</v>
      </c>
      <c r="J211">
        <v>100</v>
      </c>
      <c r="K211" t="s">
        <v>409</v>
      </c>
      <c r="L211" t="s">
        <v>234</v>
      </c>
      <c r="M211">
        <v>100</v>
      </c>
      <c r="N211" t="s">
        <v>410</v>
      </c>
      <c r="O211" t="s">
        <v>487</v>
      </c>
      <c r="P211" t="s">
        <v>29</v>
      </c>
      <c r="Q211">
        <v>34129942736</v>
      </c>
      <c r="R211" s="2" t="str">
        <f t="shared" si="23"/>
        <v>python|A3|B1b|B2a|C1c</v>
      </c>
      <c r="S211" t="str">
        <f t="shared" si="24"/>
        <v>P</v>
      </c>
      <c r="T211" t="str">
        <f t="shared" si="19"/>
        <v/>
      </c>
      <c r="U211" t="str">
        <f t="shared" si="20"/>
        <v/>
      </c>
      <c r="V211" t="str">
        <f t="shared" si="21"/>
        <v/>
      </c>
      <c r="W211" t="str">
        <f t="shared" si="22"/>
        <v/>
      </c>
    </row>
    <row r="212" spans="1:23" x14ac:dyDescent="0.3">
      <c r="A212" t="s">
        <v>488</v>
      </c>
      <c r="B212" s="1">
        <v>46272.663229942133</v>
      </c>
      <c r="C212" t="s">
        <v>231</v>
      </c>
      <c r="D212" t="s">
        <v>194</v>
      </c>
      <c r="E212" t="s">
        <v>47</v>
      </c>
      <c r="F212" t="s">
        <v>34</v>
      </c>
      <c r="G212" t="s">
        <v>22</v>
      </c>
      <c r="H212" t="s">
        <v>35</v>
      </c>
      <c r="I212" t="s">
        <v>232</v>
      </c>
      <c r="J212">
        <v>103</v>
      </c>
      <c r="K212" t="s">
        <v>263</v>
      </c>
      <c r="L212" t="s">
        <v>234</v>
      </c>
      <c r="M212">
        <v>103</v>
      </c>
      <c r="N212" t="s">
        <v>264</v>
      </c>
      <c r="O212" t="s">
        <v>489</v>
      </c>
      <c r="P212" t="s">
        <v>29</v>
      </c>
      <c r="Q212">
        <v>34130021084</v>
      </c>
      <c r="R212" s="2" t="str">
        <f t="shared" si="23"/>
        <v>python|A3|B1b|B2b|C1a</v>
      </c>
      <c r="S212" t="str">
        <f t="shared" si="24"/>
        <v>M</v>
      </c>
      <c r="T212" t="str">
        <f t="shared" si="19"/>
        <v>same</v>
      </c>
      <c r="U212" t="str">
        <f t="shared" si="20"/>
        <v/>
      </c>
      <c r="V212" t="str">
        <f t="shared" si="21"/>
        <v/>
      </c>
      <c r="W212" t="str">
        <f t="shared" si="22"/>
        <v/>
      </c>
    </row>
    <row r="213" spans="1:23" x14ac:dyDescent="0.3">
      <c r="A213" t="s">
        <v>490</v>
      </c>
      <c r="B213" s="1">
        <v>46272.663833321756</v>
      </c>
      <c r="C213" t="s">
        <v>231</v>
      </c>
      <c r="D213" t="s">
        <v>194</v>
      </c>
      <c r="E213" t="s">
        <v>47</v>
      </c>
      <c r="F213" t="s">
        <v>34</v>
      </c>
      <c r="G213" t="s">
        <v>238</v>
      </c>
      <c r="H213" t="s">
        <v>35</v>
      </c>
      <c r="I213" t="s">
        <v>232</v>
      </c>
      <c r="J213">
        <v>103</v>
      </c>
      <c r="K213" t="s">
        <v>263</v>
      </c>
      <c r="L213" t="s">
        <v>234</v>
      </c>
      <c r="M213">
        <v>103</v>
      </c>
      <c r="N213" t="s">
        <v>264</v>
      </c>
      <c r="O213" t="s">
        <v>491</v>
      </c>
      <c r="P213" t="s">
        <v>29</v>
      </c>
      <c r="Q213">
        <v>34130088849</v>
      </c>
      <c r="R213" s="2" t="str">
        <f t="shared" si="23"/>
        <v>python|A3|B1b|B2b|C1b</v>
      </c>
      <c r="S213" t="str">
        <f t="shared" si="24"/>
        <v>M</v>
      </c>
      <c r="T213" t="str">
        <f t="shared" si="19"/>
        <v/>
      </c>
      <c r="U213" t="str">
        <f t="shared" si="20"/>
        <v/>
      </c>
      <c r="V213" t="str">
        <f t="shared" si="21"/>
        <v/>
      </c>
      <c r="W213" t="str">
        <f t="shared" si="22"/>
        <v/>
      </c>
    </row>
    <row r="214" spans="1:23" x14ac:dyDescent="0.3">
      <c r="A214" t="s">
        <v>492</v>
      </c>
      <c r="B214" s="1">
        <v>46272.664356435183</v>
      </c>
      <c r="C214" t="s">
        <v>231</v>
      </c>
      <c r="D214" t="s">
        <v>194</v>
      </c>
      <c r="E214" t="s">
        <v>47</v>
      </c>
      <c r="F214" t="s">
        <v>34</v>
      </c>
      <c r="G214" t="s">
        <v>31</v>
      </c>
      <c r="H214" t="s">
        <v>35</v>
      </c>
      <c r="I214" t="s">
        <v>232</v>
      </c>
      <c r="J214">
        <v>103</v>
      </c>
      <c r="K214" t="s">
        <v>263</v>
      </c>
      <c r="L214" t="s">
        <v>234</v>
      </c>
      <c r="M214">
        <v>103</v>
      </c>
      <c r="N214" t="s">
        <v>264</v>
      </c>
      <c r="O214" t="s">
        <v>493</v>
      </c>
      <c r="P214" t="s">
        <v>29</v>
      </c>
      <c r="Q214">
        <v>34130167179</v>
      </c>
      <c r="R214" s="2" t="str">
        <f t="shared" si="23"/>
        <v>python|A3|B1b|B2b|C1c</v>
      </c>
      <c r="S214" t="str">
        <f t="shared" si="24"/>
        <v>M</v>
      </c>
      <c r="T214" t="str">
        <f t="shared" si="19"/>
        <v/>
      </c>
      <c r="U214" t="str">
        <f t="shared" si="20"/>
        <v/>
      </c>
      <c r="V214" t="str">
        <f t="shared" si="21"/>
        <v/>
      </c>
      <c r="W214" t="str">
        <f t="shared" si="22"/>
        <v/>
      </c>
    </row>
    <row r="215" spans="1:23" x14ac:dyDescent="0.3">
      <c r="A215" t="s">
        <v>494</v>
      </c>
      <c r="B215" s="1">
        <v>46272.664861041667</v>
      </c>
      <c r="C215" t="s">
        <v>231</v>
      </c>
      <c r="D215" t="s">
        <v>194</v>
      </c>
      <c r="E215" t="s">
        <v>47</v>
      </c>
      <c r="F215" t="s">
        <v>42</v>
      </c>
      <c r="G215" t="s">
        <v>22</v>
      </c>
      <c r="H215" t="s">
        <v>35</v>
      </c>
      <c r="I215" t="s">
        <v>232</v>
      </c>
      <c r="J215">
        <v>103</v>
      </c>
      <c r="K215" t="s">
        <v>263</v>
      </c>
      <c r="L215" t="s">
        <v>234</v>
      </c>
      <c r="M215">
        <v>103</v>
      </c>
      <c r="N215" t="s">
        <v>264</v>
      </c>
      <c r="O215" t="s">
        <v>495</v>
      </c>
      <c r="P215" t="s">
        <v>29</v>
      </c>
      <c r="Q215">
        <v>34130233324</v>
      </c>
      <c r="R215" s="2" t="str">
        <f t="shared" si="23"/>
        <v>python|A3|B1b|B2c|C1a</v>
      </c>
      <c r="S215" t="str">
        <f t="shared" si="24"/>
        <v>M</v>
      </c>
      <c r="T215" t="str">
        <f t="shared" si="19"/>
        <v>same</v>
      </c>
      <c r="U215" t="str">
        <f t="shared" si="20"/>
        <v/>
      </c>
      <c r="V215" t="str">
        <f t="shared" si="21"/>
        <v/>
      </c>
      <c r="W215" t="str">
        <f t="shared" si="22"/>
        <v/>
      </c>
    </row>
    <row r="216" spans="1:23" x14ac:dyDescent="0.3">
      <c r="A216" t="s">
        <v>496</v>
      </c>
      <c r="B216" s="1">
        <v>46272.665458310184</v>
      </c>
      <c r="C216" t="s">
        <v>231</v>
      </c>
      <c r="D216" t="s">
        <v>194</v>
      </c>
      <c r="E216" t="s">
        <v>47</v>
      </c>
      <c r="F216" t="s">
        <v>42</v>
      </c>
      <c r="G216" t="s">
        <v>238</v>
      </c>
      <c r="H216" t="s">
        <v>35</v>
      </c>
      <c r="I216" t="s">
        <v>232</v>
      </c>
      <c r="J216">
        <v>103</v>
      </c>
      <c r="K216" t="s">
        <v>263</v>
      </c>
      <c r="L216" t="s">
        <v>234</v>
      </c>
      <c r="M216">
        <v>103</v>
      </c>
      <c r="N216" t="s">
        <v>264</v>
      </c>
      <c r="O216" t="s">
        <v>497</v>
      </c>
      <c r="P216" t="s">
        <v>29</v>
      </c>
      <c r="Q216">
        <v>34130296847</v>
      </c>
      <c r="R216" s="2" t="str">
        <f t="shared" si="23"/>
        <v>python|A3|B1b|B2c|C1b</v>
      </c>
      <c r="S216" t="str">
        <f t="shared" si="24"/>
        <v>M</v>
      </c>
      <c r="T216" t="str">
        <f t="shared" si="19"/>
        <v/>
      </c>
      <c r="U216" t="str">
        <f t="shared" si="20"/>
        <v/>
      </c>
      <c r="V216" t="str">
        <f t="shared" si="21"/>
        <v/>
      </c>
      <c r="W216" t="str">
        <f t="shared" si="22"/>
        <v/>
      </c>
    </row>
    <row r="217" spans="1:23" x14ac:dyDescent="0.3">
      <c r="A217" t="s">
        <v>498</v>
      </c>
      <c r="B217" s="1">
        <v>46272.665963530089</v>
      </c>
      <c r="C217" t="s">
        <v>231</v>
      </c>
      <c r="D217" t="s">
        <v>194</v>
      </c>
      <c r="E217" t="s">
        <v>47</v>
      </c>
      <c r="F217" t="s">
        <v>42</v>
      </c>
      <c r="G217" t="s">
        <v>31</v>
      </c>
      <c r="H217" t="s">
        <v>35</v>
      </c>
      <c r="I217" t="s">
        <v>232</v>
      </c>
      <c r="J217">
        <v>103</v>
      </c>
      <c r="K217" t="s">
        <v>263</v>
      </c>
      <c r="L217" t="s">
        <v>234</v>
      </c>
      <c r="M217">
        <v>103</v>
      </c>
      <c r="N217" t="s">
        <v>264</v>
      </c>
      <c r="O217" t="s">
        <v>499</v>
      </c>
      <c r="P217" t="s">
        <v>29</v>
      </c>
      <c r="Q217">
        <v>34130371308</v>
      </c>
      <c r="R217" s="2" t="str">
        <f t="shared" si="23"/>
        <v>python|A3|B1b|B2c|C1c</v>
      </c>
      <c r="S217" t="str">
        <f t="shared" si="24"/>
        <v>M</v>
      </c>
      <c r="T217" t="str">
        <f t="shared" si="19"/>
        <v/>
      </c>
      <c r="U217" t="str">
        <f t="shared" si="20"/>
        <v/>
      </c>
      <c r="V217" t="str">
        <f t="shared" si="21"/>
        <v/>
      </c>
      <c r="W217" t="str">
        <f t="shared" si="22"/>
        <v/>
      </c>
    </row>
    <row r="218" spans="1:23" x14ac:dyDescent="0.3">
      <c r="A218" t="s">
        <v>500</v>
      </c>
      <c r="B218" s="1">
        <v>46272.666413310188</v>
      </c>
      <c r="C218" t="s">
        <v>231</v>
      </c>
      <c r="D218" t="s">
        <v>194</v>
      </c>
      <c r="E218" t="s">
        <v>79</v>
      </c>
      <c r="F218" t="s">
        <v>21</v>
      </c>
      <c r="G218" t="s">
        <v>22</v>
      </c>
      <c r="H218" t="s">
        <v>48</v>
      </c>
      <c r="I218" t="s">
        <v>49</v>
      </c>
      <c r="K218" t="s">
        <v>49</v>
      </c>
      <c r="L218" t="s">
        <v>49</v>
      </c>
      <c r="N218" t="s">
        <v>49</v>
      </c>
      <c r="O218" t="s">
        <v>501</v>
      </c>
      <c r="P218" t="s">
        <v>29</v>
      </c>
      <c r="Q218">
        <v>34130434748</v>
      </c>
      <c r="R218" s="2" t="str">
        <f t="shared" si="23"/>
        <v>python|A3|B1d|B2a|C1a</v>
      </c>
      <c r="S218" t="str">
        <f t="shared" si="24"/>
        <v>E</v>
      </c>
      <c r="T218" t="str">
        <f t="shared" si="19"/>
        <v>same</v>
      </c>
      <c r="U218" t="str">
        <f t="shared" si="20"/>
        <v/>
      </c>
      <c r="V218" t="str">
        <f t="shared" si="21"/>
        <v/>
      </c>
      <c r="W218" t="str">
        <f t="shared" si="22"/>
        <v/>
      </c>
    </row>
    <row r="219" spans="1:23" x14ac:dyDescent="0.3">
      <c r="A219" t="s">
        <v>502</v>
      </c>
      <c r="B219" s="1">
        <v>46272.666865775464</v>
      </c>
      <c r="C219" t="s">
        <v>231</v>
      </c>
      <c r="D219" t="s">
        <v>194</v>
      </c>
      <c r="E219" t="s">
        <v>79</v>
      </c>
      <c r="F219" t="s">
        <v>21</v>
      </c>
      <c r="G219" t="s">
        <v>238</v>
      </c>
      <c r="H219" t="s">
        <v>48</v>
      </c>
      <c r="I219" t="s">
        <v>49</v>
      </c>
      <c r="K219" t="s">
        <v>49</v>
      </c>
      <c r="L219" t="s">
        <v>49</v>
      </c>
      <c r="N219" t="s">
        <v>49</v>
      </c>
      <c r="O219" t="s">
        <v>503</v>
      </c>
      <c r="P219" t="s">
        <v>29</v>
      </c>
      <c r="Q219">
        <v>34130489947</v>
      </c>
      <c r="R219" s="2" t="str">
        <f t="shared" si="23"/>
        <v>python|A3|B1d|B2a|C1b</v>
      </c>
      <c r="S219" t="str">
        <f t="shared" si="24"/>
        <v>E</v>
      </c>
      <c r="T219" t="str">
        <f t="shared" si="19"/>
        <v/>
      </c>
      <c r="U219" t="str">
        <f t="shared" si="20"/>
        <v/>
      </c>
      <c r="V219" t="str">
        <f t="shared" si="21"/>
        <v/>
      </c>
      <c r="W219" t="str">
        <f t="shared" si="22"/>
        <v/>
      </c>
    </row>
    <row r="220" spans="1:23" x14ac:dyDescent="0.3">
      <c r="A220" t="s">
        <v>504</v>
      </c>
      <c r="B220" s="1">
        <v>46272.667324548609</v>
      </c>
      <c r="C220" t="s">
        <v>231</v>
      </c>
      <c r="D220" t="s">
        <v>194</v>
      </c>
      <c r="E220" t="s">
        <v>79</v>
      </c>
      <c r="F220" t="s">
        <v>21</v>
      </c>
      <c r="G220" t="s">
        <v>31</v>
      </c>
      <c r="H220" t="s">
        <v>48</v>
      </c>
      <c r="I220" t="s">
        <v>49</v>
      </c>
      <c r="K220" t="s">
        <v>49</v>
      </c>
      <c r="L220" t="s">
        <v>49</v>
      </c>
      <c r="N220" t="s">
        <v>49</v>
      </c>
      <c r="O220" t="s">
        <v>505</v>
      </c>
      <c r="P220" t="s">
        <v>29</v>
      </c>
      <c r="Q220">
        <v>34130556830</v>
      </c>
      <c r="R220" s="2" t="str">
        <f t="shared" si="23"/>
        <v>python|A3|B1d|B2a|C1c</v>
      </c>
      <c r="S220" t="str">
        <f t="shared" si="24"/>
        <v>E</v>
      </c>
      <c r="T220" t="str">
        <f t="shared" si="19"/>
        <v/>
      </c>
      <c r="U220" t="str">
        <f t="shared" si="20"/>
        <v/>
      </c>
      <c r="V220" t="str">
        <f t="shared" si="21"/>
        <v/>
      </c>
      <c r="W220" t="str">
        <f t="shared" si="22"/>
        <v/>
      </c>
    </row>
    <row r="221" spans="1:23" x14ac:dyDescent="0.3">
      <c r="A221" t="s">
        <v>506</v>
      </c>
      <c r="B221" s="1">
        <v>46272.667824490738</v>
      </c>
      <c r="C221" t="s">
        <v>231</v>
      </c>
      <c r="D221" t="s">
        <v>194</v>
      </c>
      <c r="E221" t="s">
        <v>79</v>
      </c>
      <c r="F221" t="s">
        <v>34</v>
      </c>
      <c r="G221" t="s">
        <v>22</v>
      </c>
      <c r="H221" t="s">
        <v>35</v>
      </c>
      <c r="I221" t="s">
        <v>232</v>
      </c>
      <c r="J221">
        <v>103</v>
      </c>
      <c r="K221" t="s">
        <v>263</v>
      </c>
      <c r="L221" t="s">
        <v>234</v>
      </c>
      <c r="M221">
        <v>103</v>
      </c>
      <c r="N221" t="s">
        <v>264</v>
      </c>
      <c r="O221" t="s">
        <v>507</v>
      </c>
      <c r="P221" t="s">
        <v>29</v>
      </c>
      <c r="Q221">
        <v>34130620184</v>
      </c>
      <c r="R221" s="2" t="str">
        <f t="shared" si="23"/>
        <v>python|A3|B1d|B2b|C1a</v>
      </c>
      <c r="S221" t="str">
        <f t="shared" si="24"/>
        <v>M</v>
      </c>
      <c r="T221" t="str">
        <f t="shared" si="19"/>
        <v>same</v>
      </c>
      <c r="U221" t="str">
        <f t="shared" si="20"/>
        <v/>
      </c>
      <c r="V221" t="str">
        <f t="shared" si="21"/>
        <v/>
      </c>
      <c r="W221" t="str">
        <f t="shared" si="22"/>
        <v/>
      </c>
    </row>
    <row r="222" spans="1:23" x14ac:dyDescent="0.3">
      <c r="A222" t="s">
        <v>508</v>
      </c>
      <c r="B222" s="1">
        <v>46272.668338831019</v>
      </c>
      <c r="C222" t="s">
        <v>231</v>
      </c>
      <c r="D222" t="s">
        <v>194</v>
      </c>
      <c r="E222" t="s">
        <v>79</v>
      </c>
      <c r="F222" t="s">
        <v>34</v>
      </c>
      <c r="G222" t="s">
        <v>238</v>
      </c>
      <c r="H222" t="s">
        <v>48</v>
      </c>
      <c r="I222" t="s">
        <v>49</v>
      </c>
      <c r="K222" t="s">
        <v>49</v>
      </c>
      <c r="L222" t="s">
        <v>49</v>
      </c>
      <c r="N222" t="s">
        <v>49</v>
      </c>
      <c r="O222" t="s">
        <v>509</v>
      </c>
      <c r="P222" t="s">
        <v>29</v>
      </c>
      <c r="Q222">
        <v>34130688734</v>
      </c>
      <c r="R222" s="2" t="str">
        <f t="shared" si="23"/>
        <v>python|A3|B1d|B2b|C1b</v>
      </c>
      <c r="S222" t="str">
        <f t="shared" si="24"/>
        <v>E</v>
      </c>
      <c r="T222" t="str">
        <f t="shared" si="19"/>
        <v/>
      </c>
      <c r="U222" t="str">
        <f t="shared" si="20"/>
        <v/>
      </c>
      <c r="V222" t="str">
        <f t="shared" si="21"/>
        <v/>
      </c>
      <c r="W222" t="str">
        <f t="shared" si="22"/>
        <v/>
      </c>
    </row>
    <row r="223" spans="1:23" x14ac:dyDescent="0.3">
      <c r="A223" t="s">
        <v>510</v>
      </c>
      <c r="B223" s="1">
        <v>46272.668907372688</v>
      </c>
      <c r="C223" t="s">
        <v>231</v>
      </c>
      <c r="D223" t="s">
        <v>194</v>
      </c>
      <c r="E223" t="s">
        <v>79</v>
      </c>
      <c r="F223" t="s">
        <v>34</v>
      </c>
      <c r="G223" t="s">
        <v>31</v>
      </c>
      <c r="H223" t="s">
        <v>35</v>
      </c>
      <c r="I223" t="s">
        <v>232</v>
      </c>
      <c r="J223">
        <v>103</v>
      </c>
      <c r="K223" t="s">
        <v>263</v>
      </c>
      <c r="L223" t="s">
        <v>234</v>
      </c>
      <c r="M223">
        <v>103</v>
      </c>
      <c r="N223" t="s">
        <v>264</v>
      </c>
      <c r="O223" t="s">
        <v>511</v>
      </c>
      <c r="P223" t="s">
        <v>29</v>
      </c>
      <c r="Q223">
        <v>34130758540</v>
      </c>
      <c r="R223" s="2" t="str">
        <f t="shared" si="23"/>
        <v>python|A3|B1d|B2b|C1c</v>
      </c>
      <c r="S223" t="str">
        <f t="shared" si="24"/>
        <v>M</v>
      </c>
      <c r="T223" t="str">
        <f t="shared" si="19"/>
        <v/>
      </c>
      <c r="U223" t="str">
        <f t="shared" si="20"/>
        <v/>
      </c>
      <c r="V223" t="str">
        <f t="shared" si="21"/>
        <v/>
      </c>
      <c r="W223" t="str">
        <f t="shared" si="22"/>
        <v/>
      </c>
    </row>
    <row r="224" spans="1:23" x14ac:dyDescent="0.3">
      <c r="A224" t="s">
        <v>512</v>
      </c>
      <c r="B224" s="1">
        <v>46272.669420358798</v>
      </c>
      <c r="C224" t="s">
        <v>231</v>
      </c>
      <c r="D224" t="s">
        <v>194</v>
      </c>
      <c r="E224" t="s">
        <v>79</v>
      </c>
      <c r="F224" t="s">
        <v>42</v>
      </c>
      <c r="G224" t="s">
        <v>22</v>
      </c>
      <c r="H224" t="s">
        <v>35</v>
      </c>
      <c r="I224" t="s">
        <v>232</v>
      </c>
      <c r="J224">
        <v>103</v>
      </c>
      <c r="K224" t="s">
        <v>263</v>
      </c>
      <c r="L224" t="s">
        <v>234</v>
      </c>
      <c r="M224">
        <v>103</v>
      </c>
      <c r="N224" t="s">
        <v>264</v>
      </c>
      <c r="O224" t="s">
        <v>513</v>
      </c>
      <c r="P224" t="s">
        <v>29</v>
      </c>
      <c r="Q224">
        <v>34130835387</v>
      </c>
      <c r="R224" s="2" t="str">
        <f t="shared" si="23"/>
        <v>python|A3|B1d|B2c|C1a</v>
      </c>
      <c r="S224" t="str">
        <f t="shared" si="24"/>
        <v>M</v>
      </c>
      <c r="T224" t="str">
        <f t="shared" si="19"/>
        <v>same</v>
      </c>
      <c r="U224" t="str">
        <f t="shared" si="20"/>
        <v/>
      </c>
      <c r="V224" t="str">
        <f t="shared" si="21"/>
        <v/>
      </c>
      <c r="W224" t="str">
        <f t="shared" si="22"/>
        <v/>
      </c>
    </row>
    <row r="225" spans="1:23" x14ac:dyDescent="0.3">
      <c r="A225" t="s">
        <v>514</v>
      </c>
      <c r="B225" s="1">
        <v>46272.66994806713</v>
      </c>
      <c r="C225" t="s">
        <v>231</v>
      </c>
      <c r="D225" t="s">
        <v>194</v>
      </c>
      <c r="E225" t="s">
        <v>79</v>
      </c>
      <c r="F225" t="s">
        <v>42</v>
      </c>
      <c r="G225" t="s">
        <v>238</v>
      </c>
      <c r="H225" t="s">
        <v>48</v>
      </c>
      <c r="I225" t="s">
        <v>49</v>
      </c>
      <c r="K225" t="s">
        <v>49</v>
      </c>
      <c r="L225" t="s">
        <v>49</v>
      </c>
      <c r="N225" t="s">
        <v>49</v>
      </c>
      <c r="O225" t="s">
        <v>515</v>
      </c>
      <c r="P225" t="s">
        <v>29</v>
      </c>
      <c r="Q225">
        <v>34130904085</v>
      </c>
      <c r="R225" s="2" t="str">
        <f t="shared" si="23"/>
        <v>python|A3|B1d|B2c|C1b</v>
      </c>
      <c r="S225" t="str">
        <f t="shared" si="24"/>
        <v>E</v>
      </c>
      <c r="T225" t="str">
        <f t="shared" si="19"/>
        <v/>
      </c>
      <c r="U225" t="str">
        <f t="shared" si="20"/>
        <v/>
      </c>
      <c r="V225" t="str">
        <f t="shared" si="21"/>
        <v/>
      </c>
      <c r="W225" t="str">
        <f t="shared" si="22"/>
        <v/>
      </c>
    </row>
    <row r="226" spans="1:23" x14ac:dyDescent="0.3">
      <c r="A226" t="s">
        <v>516</v>
      </c>
      <c r="B226" s="1">
        <v>46272.670508599535</v>
      </c>
      <c r="C226" t="s">
        <v>231</v>
      </c>
      <c r="D226" t="s">
        <v>194</v>
      </c>
      <c r="E226" t="s">
        <v>79</v>
      </c>
      <c r="F226" t="s">
        <v>42</v>
      </c>
      <c r="G226" t="s">
        <v>31</v>
      </c>
      <c r="H226" t="s">
        <v>35</v>
      </c>
      <c r="I226" t="s">
        <v>232</v>
      </c>
      <c r="J226">
        <v>103</v>
      </c>
      <c r="K226" t="s">
        <v>263</v>
      </c>
      <c r="L226" t="s">
        <v>234</v>
      </c>
      <c r="M226">
        <v>103</v>
      </c>
      <c r="N226" t="s">
        <v>264</v>
      </c>
      <c r="O226" t="s">
        <v>517</v>
      </c>
      <c r="P226" t="s">
        <v>29</v>
      </c>
      <c r="Q226">
        <v>34130972245</v>
      </c>
      <c r="R226" s="2" t="str">
        <f t="shared" si="23"/>
        <v>python|A3|B1d|B2c|C1c</v>
      </c>
      <c r="S226" t="str">
        <f t="shared" si="24"/>
        <v>M</v>
      </c>
      <c r="T226" t="str">
        <f t="shared" si="19"/>
        <v/>
      </c>
      <c r="U226" t="str">
        <f t="shared" si="20"/>
        <v/>
      </c>
      <c r="V226" t="str">
        <f t="shared" si="21"/>
        <v/>
      </c>
      <c r="W226" t="str">
        <f t="shared" si="22"/>
        <v/>
      </c>
    </row>
    <row r="227" spans="1:23" x14ac:dyDescent="0.3">
      <c r="A227" t="s">
        <v>518</v>
      </c>
      <c r="B227" s="1">
        <v>46272.672569386574</v>
      </c>
      <c r="C227" t="s">
        <v>519</v>
      </c>
      <c r="D227" t="s">
        <v>19</v>
      </c>
      <c r="E227" t="s">
        <v>20</v>
      </c>
      <c r="F227" t="s">
        <v>21</v>
      </c>
      <c r="G227" t="s">
        <v>22</v>
      </c>
      <c r="H227" t="s">
        <v>23</v>
      </c>
      <c r="I227" t="s">
        <v>520</v>
      </c>
      <c r="J227">
        <v>100</v>
      </c>
      <c r="K227" t="s">
        <v>521</v>
      </c>
      <c r="L227" t="s">
        <v>522</v>
      </c>
      <c r="M227">
        <v>100</v>
      </c>
      <c r="N227" t="s">
        <v>523</v>
      </c>
      <c r="O227" t="s">
        <v>524</v>
      </c>
      <c r="P227" t="s">
        <v>29</v>
      </c>
      <c r="Q227">
        <v>34131050358</v>
      </c>
      <c r="R227" s="2" t="str">
        <f t="shared" si="23"/>
        <v>java|A1a|B1a|B2a|C1a</v>
      </c>
      <c r="S227" t="str">
        <f t="shared" si="24"/>
        <v>P</v>
      </c>
      <c r="T227" t="str">
        <f t="shared" si="19"/>
        <v>same</v>
      </c>
      <c r="U227" t="str">
        <f t="shared" si="20"/>
        <v/>
      </c>
      <c r="V227" t="str">
        <f t="shared" si="21"/>
        <v/>
      </c>
      <c r="W227" t="str">
        <f t="shared" si="22"/>
        <v>same</v>
      </c>
    </row>
    <row r="228" spans="1:23" x14ac:dyDescent="0.3">
      <c r="A228" t="s">
        <v>525</v>
      </c>
      <c r="B228" s="1">
        <v>46272.675442210646</v>
      </c>
      <c r="C228" t="s">
        <v>519</v>
      </c>
      <c r="D228" t="s">
        <v>19</v>
      </c>
      <c r="E228" t="s">
        <v>20</v>
      </c>
      <c r="F228" t="s">
        <v>21</v>
      </c>
      <c r="G228" t="s">
        <v>238</v>
      </c>
      <c r="H228" t="s">
        <v>23</v>
      </c>
      <c r="I228" t="s">
        <v>520</v>
      </c>
      <c r="J228">
        <v>100</v>
      </c>
      <c r="K228" t="s">
        <v>521</v>
      </c>
      <c r="L228" t="s">
        <v>522</v>
      </c>
      <c r="M228">
        <v>100</v>
      </c>
      <c r="N228" t="s">
        <v>523</v>
      </c>
      <c r="O228" t="s">
        <v>526</v>
      </c>
      <c r="P228" t="s">
        <v>29</v>
      </c>
      <c r="Q228">
        <v>34131325556</v>
      </c>
      <c r="R228" s="2" t="str">
        <f t="shared" si="23"/>
        <v>java|A1a|B1a|B2a|C1b</v>
      </c>
      <c r="S228" t="str">
        <f t="shared" si="24"/>
        <v>P</v>
      </c>
      <c r="T228" t="str">
        <f t="shared" si="19"/>
        <v/>
      </c>
      <c r="U228" t="str">
        <f t="shared" si="20"/>
        <v/>
      </c>
      <c r="V228" t="str">
        <f t="shared" si="21"/>
        <v/>
      </c>
      <c r="W228" t="str">
        <f t="shared" si="22"/>
        <v>same</v>
      </c>
    </row>
    <row r="229" spans="1:23" x14ac:dyDescent="0.3">
      <c r="A229" t="s">
        <v>527</v>
      </c>
      <c r="B229" s="1">
        <v>46272.677740277781</v>
      </c>
      <c r="C229" t="s">
        <v>519</v>
      </c>
      <c r="D229" t="s">
        <v>19</v>
      </c>
      <c r="E229" t="s">
        <v>20</v>
      </c>
      <c r="F229" t="s">
        <v>21</v>
      </c>
      <c r="G229" t="s">
        <v>31</v>
      </c>
      <c r="H229" t="s">
        <v>23</v>
      </c>
      <c r="I229" t="s">
        <v>520</v>
      </c>
      <c r="J229">
        <v>100</v>
      </c>
      <c r="K229" t="s">
        <v>521</v>
      </c>
      <c r="L229" t="s">
        <v>522</v>
      </c>
      <c r="M229">
        <v>100</v>
      </c>
      <c r="N229" t="s">
        <v>523</v>
      </c>
      <c r="O229" t="s">
        <v>528</v>
      </c>
      <c r="P229" t="s">
        <v>29</v>
      </c>
      <c r="Q229">
        <v>34131718099</v>
      </c>
      <c r="R229" s="2" t="str">
        <f t="shared" si="23"/>
        <v>java|A1a|B1a|B2a|C1c</v>
      </c>
      <c r="S229" t="str">
        <f t="shared" si="24"/>
        <v>P</v>
      </c>
      <c r="T229" t="str">
        <f t="shared" si="19"/>
        <v/>
      </c>
      <c r="U229" t="str">
        <f t="shared" si="20"/>
        <v/>
      </c>
      <c r="V229" t="str">
        <f t="shared" si="21"/>
        <v/>
      </c>
      <c r="W229" t="str">
        <f t="shared" si="22"/>
        <v>same</v>
      </c>
    </row>
    <row r="230" spans="1:23" x14ac:dyDescent="0.3">
      <c r="A230" t="s">
        <v>529</v>
      </c>
      <c r="B230" s="1">
        <v>46272.679616296293</v>
      </c>
      <c r="C230" t="s">
        <v>519</v>
      </c>
      <c r="D230" t="s">
        <v>19</v>
      </c>
      <c r="E230" t="s">
        <v>20</v>
      </c>
      <c r="F230" t="s">
        <v>34</v>
      </c>
      <c r="G230" t="s">
        <v>22</v>
      </c>
      <c r="H230" t="s">
        <v>35</v>
      </c>
      <c r="I230" t="s">
        <v>520</v>
      </c>
      <c r="J230">
        <v>103</v>
      </c>
      <c r="K230" t="s">
        <v>530</v>
      </c>
      <c r="L230" t="s">
        <v>522</v>
      </c>
      <c r="M230">
        <v>103</v>
      </c>
      <c r="N230" t="s">
        <v>531</v>
      </c>
      <c r="O230" t="s">
        <v>532</v>
      </c>
      <c r="P230" t="s">
        <v>29</v>
      </c>
      <c r="Q230">
        <v>34132033077</v>
      </c>
      <c r="R230" s="2" t="str">
        <f t="shared" si="23"/>
        <v>java|A1a|B1a|B2b|C1a</v>
      </c>
      <c r="S230" t="str">
        <f t="shared" si="24"/>
        <v>M</v>
      </c>
      <c r="T230" t="str">
        <f t="shared" si="19"/>
        <v>same</v>
      </c>
      <c r="U230" t="str">
        <f t="shared" si="20"/>
        <v/>
      </c>
      <c r="V230" t="str">
        <f t="shared" si="21"/>
        <v/>
      </c>
      <c r="W230" t="str">
        <f t="shared" si="22"/>
        <v>same</v>
      </c>
    </row>
    <row r="231" spans="1:23" x14ac:dyDescent="0.3">
      <c r="A231" t="s">
        <v>533</v>
      </c>
      <c r="B231" s="1">
        <v>46272.682858599539</v>
      </c>
      <c r="C231" t="s">
        <v>519</v>
      </c>
      <c r="D231" t="s">
        <v>19</v>
      </c>
      <c r="E231" t="s">
        <v>20</v>
      </c>
      <c r="F231" t="s">
        <v>34</v>
      </c>
      <c r="G231" t="s">
        <v>238</v>
      </c>
      <c r="H231" t="s">
        <v>35</v>
      </c>
      <c r="I231" t="s">
        <v>520</v>
      </c>
      <c r="J231">
        <v>103</v>
      </c>
      <c r="K231" t="s">
        <v>530</v>
      </c>
      <c r="L231" t="s">
        <v>522</v>
      </c>
      <c r="M231">
        <v>103</v>
      </c>
      <c r="N231" t="s">
        <v>531</v>
      </c>
      <c r="O231" t="s">
        <v>534</v>
      </c>
      <c r="P231" t="s">
        <v>29</v>
      </c>
      <c r="Q231">
        <v>34132275385</v>
      </c>
      <c r="R231" s="2" t="str">
        <f t="shared" si="23"/>
        <v>java|A1a|B1a|B2b|C1b</v>
      </c>
      <c r="S231" t="str">
        <f t="shared" si="24"/>
        <v>M</v>
      </c>
      <c r="T231" t="str">
        <f t="shared" si="19"/>
        <v/>
      </c>
      <c r="U231" t="str">
        <f t="shared" si="20"/>
        <v/>
      </c>
      <c r="V231" t="str">
        <f t="shared" si="21"/>
        <v/>
      </c>
      <c r="W231" t="str">
        <f t="shared" si="22"/>
        <v>same</v>
      </c>
    </row>
    <row r="232" spans="1:23" x14ac:dyDescent="0.3">
      <c r="A232" t="s">
        <v>535</v>
      </c>
      <c r="B232" s="1">
        <v>46272.685738020831</v>
      </c>
      <c r="C232" t="s">
        <v>519</v>
      </c>
      <c r="D232" t="s">
        <v>19</v>
      </c>
      <c r="E232" t="s">
        <v>20</v>
      </c>
      <c r="F232" t="s">
        <v>34</v>
      </c>
      <c r="G232" t="s">
        <v>31</v>
      </c>
      <c r="H232" t="s">
        <v>35</v>
      </c>
      <c r="I232" t="s">
        <v>520</v>
      </c>
      <c r="J232">
        <v>103</v>
      </c>
      <c r="K232" t="s">
        <v>530</v>
      </c>
      <c r="L232" t="s">
        <v>522</v>
      </c>
      <c r="M232">
        <v>103</v>
      </c>
      <c r="N232" t="s">
        <v>531</v>
      </c>
      <c r="O232" t="s">
        <v>536</v>
      </c>
      <c r="P232" t="s">
        <v>29</v>
      </c>
      <c r="Q232">
        <v>34132694817</v>
      </c>
      <c r="R232" s="2" t="str">
        <f t="shared" si="23"/>
        <v>java|A1a|B1a|B2b|C1c</v>
      </c>
      <c r="S232" t="str">
        <f t="shared" si="24"/>
        <v>M</v>
      </c>
      <c r="T232" t="str">
        <f t="shared" si="19"/>
        <v/>
      </c>
      <c r="U232" t="str">
        <f t="shared" si="20"/>
        <v/>
      </c>
      <c r="V232" t="str">
        <f t="shared" si="21"/>
        <v/>
      </c>
      <c r="W232" t="str">
        <f t="shared" si="22"/>
        <v>same</v>
      </c>
    </row>
    <row r="233" spans="1:23" x14ac:dyDescent="0.3">
      <c r="A233" t="s">
        <v>537</v>
      </c>
      <c r="B233" s="1">
        <v>46272.687630509259</v>
      </c>
      <c r="C233" t="s">
        <v>519</v>
      </c>
      <c r="D233" t="s">
        <v>19</v>
      </c>
      <c r="E233" t="s">
        <v>47</v>
      </c>
      <c r="F233" t="s">
        <v>21</v>
      </c>
      <c r="G233" t="s">
        <v>22</v>
      </c>
      <c r="H233" t="s">
        <v>23</v>
      </c>
      <c r="I233" t="s">
        <v>520</v>
      </c>
      <c r="J233">
        <v>100</v>
      </c>
      <c r="K233" t="s">
        <v>521</v>
      </c>
      <c r="L233" t="s">
        <v>522</v>
      </c>
      <c r="M233">
        <v>100</v>
      </c>
      <c r="N233" t="s">
        <v>523</v>
      </c>
      <c r="O233" t="s">
        <v>538</v>
      </c>
      <c r="P233" t="s">
        <v>29</v>
      </c>
      <c r="Q233">
        <v>34133073188</v>
      </c>
      <c r="R233" s="2" t="str">
        <f t="shared" si="23"/>
        <v>java|A1a|B1b|B2a|C1a</v>
      </c>
      <c r="S233" t="str">
        <f t="shared" si="24"/>
        <v>P</v>
      </c>
      <c r="T233" t="str">
        <f t="shared" si="19"/>
        <v>same</v>
      </c>
      <c r="U233" t="str">
        <f t="shared" si="20"/>
        <v/>
      </c>
      <c r="V233" t="str">
        <f t="shared" si="21"/>
        <v/>
      </c>
      <c r="W233" t="str">
        <f t="shared" si="22"/>
        <v>same</v>
      </c>
    </row>
    <row r="234" spans="1:23" x14ac:dyDescent="0.3">
      <c r="A234" t="s">
        <v>539</v>
      </c>
      <c r="B234" s="1">
        <v>46272.690244131947</v>
      </c>
      <c r="C234" t="s">
        <v>519</v>
      </c>
      <c r="D234" t="s">
        <v>19</v>
      </c>
      <c r="E234" t="s">
        <v>47</v>
      </c>
      <c r="F234" t="s">
        <v>21</v>
      </c>
      <c r="G234" t="s">
        <v>238</v>
      </c>
      <c r="H234" t="s">
        <v>23</v>
      </c>
      <c r="I234" t="s">
        <v>520</v>
      </c>
      <c r="J234">
        <v>100</v>
      </c>
      <c r="K234" t="s">
        <v>521</v>
      </c>
      <c r="L234" t="s">
        <v>522</v>
      </c>
      <c r="M234">
        <v>100</v>
      </c>
      <c r="N234" t="s">
        <v>523</v>
      </c>
      <c r="O234" t="s">
        <v>540</v>
      </c>
      <c r="P234" t="s">
        <v>29</v>
      </c>
      <c r="Q234">
        <v>34133320788</v>
      </c>
      <c r="R234" s="2" t="str">
        <f t="shared" si="23"/>
        <v>java|A1a|B1b|B2a|C1b</v>
      </c>
      <c r="S234" t="str">
        <f t="shared" si="24"/>
        <v>P</v>
      </c>
      <c r="T234" t="str">
        <f t="shared" si="19"/>
        <v/>
      </c>
      <c r="U234" t="str">
        <f t="shared" si="20"/>
        <v/>
      </c>
      <c r="V234" t="str">
        <f t="shared" si="21"/>
        <v/>
      </c>
      <c r="W234" t="str">
        <f t="shared" si="22"/>
        <v>same</v>
      </c>
    </row>
    <row r="235" spans="1:23" x14ac:dyDescent="0.3">
      <c r="A235" t="s">
        <v>541</v>
      </c>
      <c r="B235" s="1">
        <v>46272.693099965276</v>
      </c>
      <c r="C235" t="s">
        <v>519</v>
      </c>
      <c r="D235" t="s">
        <v>19</v>
      </c>
      <c r="E235" t="s">
        <v>47</v>
      </c>
      <c r="F235" t="s">
        <v>21</v>
      </c>
      <c r="G235" t="s">
        <v>31</v>
      </c>
      <c r="H235" t="s">
        <v>23</v>
      </c>
      <c r="I235" t="s">
        <v>520</v>
      </c>
      <c r="J235">
        <v>100</v>
      </c>
      <c r="K235" t="s">
        <v>521</v>
      </c>
      <c r="L235" t="s">
        <v>522</v>
      </c>
      <c r="M235">
        <v>100</v>
      </c>
      <c r="N235" t="s">
        <v>523</v>
      </c>
      <c r="O235" t="s">
        <v>542</v>
      </c>
      <c r="P235" t="s">
        <v>29</v>
      </c>
      <c r="Q235">
        <v>34133664190</v>
      </c>
      <c r="R235" s="2" t="str">
        <f t="shared" si="23"/>
        <v>java|A1a|B1b|B2a|C1c</v>
      </c>
      <c r="S235" t="str">
        <f t="shared" si="24"/>
        <v>P</v>
      </c>
      <c r="T235" t="str">
        <f t="shared" si="19"/>
        <v/>
      </c>
      <c r="U235" t="str">
        <f t="shared" si="20"/>
        <v/>
      </c>
      <c r="V235" t="str">
        <f t="shared" si="21"/>
        <v/>
      </c>
      <c r="W235" t="str">
        <f t="shared" si="22"/>
        <v>same</v>
      </c>
    </row>
    <row r="236" spans="1:23" x14ac:dyDescent="0.3">
      <c r="A236" t="s">
        <v>543</v>
      </c>
      <c r="B236" s="1">
        <v>46272.694211666669</v>
      </c>
      <c r="C236" t="s">
        <v>519</v>
      </c>
      <c r="D236" t="s">
        <v>19</v>
      </c>
      <c r="E236" t="s">
        <v>47</v>
      </c>
      <c r="F236" t="s">
        <v>34</v>
      </c>
      <c r="G236" t="s">
        <v>22</v>
      </c>
      <c r="H236" t="s">
        <v>35</v>
      </c>
      <c r="I236" t="s">
        <v>520</v>
      </c>
      <c r="J236">
        <v>103</v>
      </c>
      <c r="K236" t="s">
        <v>544</v>
      </c>
      <c r="L236" t="s">
        <v>522</v>
      </c>
      <c r="M236">
        <v>103</v>
      </c>
      <c r="N236" t="s">
        <v>545</v>
      </c>
      <c r="O236" t="s">
        <v>546</v>
      </c>
      <c r="P236" t="s">
        <v>29</v>
      </c>
      <c r="Q236">
        <v>34134043751</v>
      </c>
      <c r="R236" s="2" t="str">
        <f t="shared" si="23"/>
        <v>java|A1a|B1b|B2b|C1a</v>
      </c>
      <c r="S236" t="str">
        <f t="shared" si="24"/>
        <v>M</v>
      </c>
      <c r="T236" t="str">
        <f t="shared" si="19"/>
        <v>same</v>
      </c>
      <c r="U236" t="str">
        <f t="shared" si="20"/>
        <v/>
      </c>
      <c r="V236" t="str">
        <f t="shared" si="21"/>
        <v/>
      </c>
      <c r="W236" t="str">
        <f t="shared" si="22"/>
        <v>same</v>
      </c>
    </row>
    <row r="237" spans="1:23" x14ac:dyDescent="0.3">
      <c r="A237" t="s">
        <v>547</v>
      </c>
      <c r="B237" s="1">
        <v>46272.695617002311</v>
      </c>
      <c r="C237" t="s">
        <v>519</v>
      </c>
      <c r="D237" t="s">
        <v>19</v>
      </c>
      <c r="E237" t="s">
        <v>47</v>
      </c>
      <c r="F237" t="s">
        <v>34</v>
      </c>
      <c r="G237" t="s">
        <v>238</v>
      </c>
      <c r="H237" t="s">
        <v>35</v>
      </c>
      <c r="I237" t="s">
        <v>520</v>
      </c>
      <c r="J237">
        <v>103</v>
      </c>
      <c r="K237" t="s">
        <v>544</v>
      </c>
      <c r="L237" t="s">
        <v>522</v>
      </c>
      <c r="M237">
        <v>103</v>
      </c>
      <c r="N237" t="s">
        <v>545</v>
      </c>
      <c r="O237" t="s">
        <v>548</v>
      </c>
      <c r="P237" t="s">
        <v>29</v>
      </c>
      <c r="Q237">
        <v>34134187456</v>
      </c>
      <c r="R237" s="2" t="str">
        <f t="shared" si="23"/>
        <v>java|A1a|B1b|B2b|C1b</v>
      </c>
      <c r="S237" t="str">
        <f t="shared" si="24"/>
        <v>M</v>
      </c>
      <c r="T237" t="str">
        <f t="shared" si="19"/>
        <v/>
      </c>
      <c r="U237" t="str">
        <f t="shared" si="20"/>
        <v/>
      </c>
      <c r="V237" t="str">
        <f t="shared" si="21"/>
        <v/>
      </c>
      <c r="W237" t="str">
        <f t="shared" si="22"/>
        <v>same</v>
      </c>
    </row>
    <row r="238" spans="1:23" x14ac:dyDescent="0.3">
      <c r="A238" t="s">
        <v>549</v>
      </c>
      <c r="B238" s="1">
        <v>46272.697070497685</v>
      </c>
      <c r="C238" t="s">
        <v>519</v>
      </c>
      <c r="D238" t="s">
        <v>19</v>
      </c>
      <c r="E238" t="s">
        <v>47</v>
      </c>
      <c r="F238" t="s">
        <v>34</v>
      </c>
      <c r="G238" t="s">
        <v>31</v>
      </c>
      <c r="H238" t="s">
        <v>35</v>
      </c>
      <c r="I238" t="s">
        <v>520</v>
      </c>
      <c r="J238">
        <v>103</v>
      </c>
      <c r="K238" t="s">
        <v>544</v>
      </c>
      <c r="L238" t="s">
        <v>522</v>
      </c>
      <c r="M238">
        <v>103</v>
      </c>
      <c r="N238" t="s">
        <v>545</v>
      </c>
      <c r="O238" t="s">
        <v>550</v>
      </c>
      <c r="P238" t="s">
        <v>29</v>
      </c>
      <c r="Q238">
        <v>34134372303</v>
      </c>
      <c r="R238" s="2" t="str">
        <f t="shared" si="23"/>
        <v>java|A1a|B1b|B2b|C1c</v>
      </c>
      <c r="S238" t="str">
        <f t="shared" si="24"/>
        <v>M</v>
      </c>
      <c r="T238" t="str">
        <f t="shared" si="19"/>
        <v/>
      </c>
      <c r="U238" t="str">
        <f t="shared" si="20"/>
        <v/>
      </c>
      <c r="V238" t="str">
        <f t="shared" si="21"/>
        <v/>
      </c>
      <c r="W238" t="str">
        <f t="shared" si="22"/>
        <v>same</v>
      </c>
    </row>
    <row r="239" spans="1:23" x14ac:dyDescent="0.3">
      <c r="A239" t="s">
        <v>551</v>
      </c>
      <c r="B239" s="1">
        <v>46272.698286365739</v>
      </c>
      <c r="C239" t="s">
        <v>519</v>
      </c>
      <c r="D239" t="s">
        <v>19</v>
      </c>
      <c r="E239" t="s">
        <v>64</v>
      </c>
      <c r="F239" t="s">
        <v>21</v>
      </c>
      <c r="G239" t="s">
        <v>22</v>
      </c>
      <c r="H239" t="s">
        <v>23</v>
      </c>
      <c r="I239" t="s">
        <v>520</v>
      </c>
      <c r="J239">
        <v>100</v>
      </c>
      <c r="K239" t="s">
        <v>521</v>
      </c>
      <c r="L239" t="s">
        <v>522</v>
      </c>
      <c r="M239">
        <v>100</v>
      </c>
      <c r="N239" t="s">
        <v>523</v>
      </c>
      <c r="O239" t="s">
        <v>552</v>
      </c>
      <c r="P239" t="s">
        <v>29</v>
      </c>
      <c r="Q239">
        <v>34134566471</v>
      </c>
      <c r="R239" s="2" t="str">
        <f t="shared" si="23"/>
        <v>java|A1a|B1c|B2a|C1a</v>
      </c>
      <c r="S239" t="str">
        <f t="shared" si="24"/>
        <v>P</v>
      </c>
      <c r="T239" t="str">
        <f t="shared" si="19"/>
        <v>same</v>
      </c>
      <c r="U239" t="str">
        <f t="shared" si="20"/>
        <v/>
      </c>
      <c r="V239" t="str">
        <f t="shared" si="21"/>
        <v/>
      </c>
      <c r="W239" t="str">
        <f t="shared" si="22"/>
        <v>same</v>
      </c>
    </row>
    <row r="240" spans="1:23" x14ac:dyDescent="0.3">
      <c r="A240" t="s">
        <v>553</v>
      </c>
      <c r="B240" s="1">
        <v>46272.699908888892</v>
      </c>
      <c r="C240" t="s">
        <v>519</v>
      </c>
      <c r="D240" t="s">
        <v>19</v>
      </c>
      <c r="E240" t="s">
        <v>64</v>
      </c>
      <c r="F240" t="s">
        <v>21</v>
      </c>
      <c r="G240" t="s">
        <v>238</v>
      </c>
      <c r="H240" t="s">
        <v>23</v>
      </c>
      <c r="I240" t="s">
        <v>520</v>
      </c>
      <c r="J240">
        <v>100</v>
      </c>
      <c r="K240" t="s">
        <v>521</v>
      </c>
      <c r="L240" t="s">
        <v>522</v>
      </c>
      <c r="M240">
        <v>100</v>
      </c>
      <c r="N240" t="s">
        <v>523</v>
      </c>
      <c r="O240" t="s">
        <v>554</v>
      </c>
      <c r="P240" t="s">
        <v>29</v>
      </c>
      <c r="Q240">
        <v>34134726829</v>
      </c>
      <c r="R240" s="2" t="str">
        <f t="shared" si="23"/>
        <v>java|A1a|B1c|B2a|C1b</v>
      </c>
      <c r="S240" t="str">
        <f t="shared" si="24"/>
        <v>P</v>
      </c>
      <c r="T240" t="str">
        <f t="shared" si="19"/>
        <v/>
      </c>
      <c r="U240" t="str">
        <f t="shared" si="20"/>
        <v/>
      </c>
      <c r="V240" t="str">
        <f t="shared" si="21"/>
        <v/>
      </c>
      <c r="W240" t="str">
        <f t="shared" si="22"/>
        <v>same</v>
      </c>
    </row>
    <row r="241" spans="1:23" x14ac:dyDescent="0.3">
      <c r="A241" t="s">
        <v>555</v>
      </c>
      <c r="B241" s="1">
        <v>46272.701317627318</v>
      </c>
      <c r="C241" t="s">
        <v>519</v>
      </c>
      <c r="D241" t="s">
        <v>19</v>
      </c>
      <c r="E241" t="s">
        <v>64</v>
      </c>
      <c r="F241" t="s">
        <v>21</v>
      </c>
      <c r="G241" t="s">
        <v>31</v>
      </c>
      <c r="H241" t="s">
        <v>23</v>
      </c>
      <c r="I241" t="s">
        <v>520</v>
      </c>
      <c r="J241">
        <v>100</v>
      </c>
      <c r="K241" t="s">
        <v>521</v>
      </c>
      <c r="L241" t="s">
        <v>522</v>
      </c>
      <c r="M241">
        <v>100</v>
      </c>
      <c r="N241" t="s">
        <v>523</v>
      </c>
      <c r="O241" t="s">
        <v>556</v>
      </c>
      <c r="P241" t="s">
        <v>29</v>
      </c>
      <c r="Q241">
        <v>34134931903</v>
      </c>
      <c r="R241" s="2" t="str">
        <f t="shared" si="23"/>
        <v>java|A1a|B1c|B2a|C1c</v>
      </c>
      <c r="S241" t="str">
        <f t="shared" si="24"/>
        <v>P</v>
      </c>
      <c r="T241" t="str">
        <f t="shared" si="19"/>
        <v/>
      </c>
      <c r="U241" t="str">
        <f t="shared" si="20"/>
        <v/>
      </c>
      <c r="V241" t="str">
        <f t="shared" si="21"/>
        <v/>
      </c>
      <c r="W241" t="str">
        <f t="shared" si="22"/>
        <v>same</v>
      </c>
    </row>
    <row r="242" spans="1:23" x14ac:dyDescent="0.3">
      <c r="A242" t="s">
        <v>557</v>
      </c>
      <c r="B242" s="1">
        <v>46272.702541203704</v>
      </c>
      <c r="C242" t="s">
        <v>519</v>
      </c>
      <c r="D242" t="s">
        <v>19</v>
      </c>
      <c r="E242" t="s">
        <v>64</v>
      </c>
      <c r="F242" t="s">
        <v>34</v>
      </c>
      <c r="G242" t="s">
        <v>22</v>
      </c>
      <c r="H242" t="s">
        <v>35</v>
      </c>
      <c r="I242" t="s">
        <v>520</v>
      </c>
      <c r="J242">
        <v>103</v>
      </c>
      <c r="K242" t="s">
        <v>558</v>
      </c>
      <c r="L242" t="s">
        <v>522</v>
      </c>
      <c r="M242">
        <v>103</v>
      </c>
      <c r="N242" t="s">
        <v>559</v>
      </c>
      <c r="O242" t="s">
        <v>560</v>
      </c>
      <c r="P242" t="s">
        <v>29</v>
      </c>
      <c r="Q242">
        <v>34135110660</v>
      </c>
      <c r="R242" s="2" t="str">
        <f t="shared" si="23"/>
        <v>java|A1a|B1c|B2b|C1a</v>
      </c>
      <c r="S242" t="str">
        <f t="shared" si="24"/>
        <v>M</v>
      </c>
      <c r="T242" t="str">
        <f t="shared" si="19"/>
        <v>same</v>
      </c>
      <c r="U242" t="str">
        <f t="shared" si="20"/>
        <v/>
      </c>
      <c r="V242" t="str">
        <f t="shared" si="21"/>
        <v/>
      </c>
      <c r="W242" t="str">
        <f t="shared" si="22"/>
        <v>same</v>
      </c>
    </row>
    <row r="243" spans="1:23" x14ac:dyDescent="0.3">
      <c r="A243" t="s">
        <v>561</v>
      </c>
      <c r="B243" s="1">
        <v>46272.703752060188</v>
      </c>
      <c r="C243" t="s">
        <v>519</v>
      </c>
      <c r="D243" t="s">
        <v>19</v>
      </c>
      <c r="E243" t="s">
        <v>64</v>
      </c>
      <c r="F243" t="s">
        <v>34</v>
      </c>
      <c r="G243" t="s">
        <v>238</v>
      </c>
      <c r="H243" t="s">
        <v>35</v>
      </c>
      <c r="I243" t="s">
        <v>520</v>
      </c>
      <c r="J243">
        <v>103</v>
      </c>
      <c r="K243" t="s">
        <v>558</v>
      </c>
      <c r="L243" t="s">
        <v>522</v>
      </c>
      <c r="M243">
        <v>103</v>
      </c>
      <c r="N243" t="s">
        <v>559</v>
      </c>
      <c r="O243" t="s">
        <v>562</v>
      </c>
      <c r="P243" t="s">
        <v>29</v>
      </c>
      <c r="Q243">
        <v>34135266760</v>
      </c>
      <c r="R243" s="2" t="str">
        <f t="shared" si="23"/>
        <v>java|A1a|B1c|B2b|C1b</v>
      </c>
      <c r="S243" t="str">
        <f t="shared" si="24"/>
        <v>M</v>
      </c>
      <c r="T243" t="str">
        <f t="shared" si="19"/>
        <v/>
      </c>
      <c r="U243" t="str">
        <f t="shared" si="20"/>
        <v/>
      </c>
      <c r="V243" t="str">
        <f t="shared" si="21"/>
        <v/>
      </c>
      <c r="W243" t="str">
        <f t="shared" si="22"/>
        <v>same</v>
      </c>
    </row>
    <row r="244" spans="1:23" x14ac:dyDescent="0.3">
      <c r="A244" t="s">
        <v>563</v>
      </c>
      <c r="B244" s="1">
        <v>46272.705000509261</v>
      </c>
      <c r="C244" t="s">
        <v>519</v>
      </c>
      <c r="D244" t="s">
        <v>19</v>
      </c>
      <c r="E244" t="s">
        <v>64</v>
      </c>
      <c r="F244" t="s">
        <v>34</v>
      </c>
      <c r="G244" t="s">
        <v>31</v>
      </c>
      <c r="H244" t="s">
        <v>35</v>
      </c>
      <c r="I244" t="s">
        <v>520</v>
      </c>
      <c r="J244">
        <v>103</v>
      </c>
      <c r="K244" t="s">
        <v>558</v>
      </c>
      <c r="L244" t="s">
        <v>522</v>
      </c>
      <c r="M244">
        <v>103</v>
      </c>
      <c r="N244" t="s">
        <v>559</v>
      </c>
      <c r="O244" t="s">
        <v>564</v>
      </c>
      <c r="P244" t="s">
        <v>29</v>
      </c>
      <c r="Q244">
        <v>34135418412</v>
      </c>
      <c r="R244" s="2" t="str">
        <f t="shared" si="23"/>
        <v>java|A1a|B1c|B2b|C1c</v>
      </c>
      <c r="S244" t="str">
        <f t="shared" si="24"/>
        <v>M</v>
      </c>
      <c r="T244" t="str">
        <f t="shared" si="19"/>
        <v/>
      </c>
      <c r="U244" t="str">
        <f t="shared" si="20"/>
        <v/>
      </c>
      <c r="V244" t="str">
        <f t="shared" si="21"/>
        <v/>
      </c>
      <c r="W244" t="str">
        <f t="shared" si="22"/>
        <v>same</v>
      </c>
    </row>
    <row r="245" spans="1:23" x14ac:dyDescent="0.3">
      <c r="A245" t="s">
        <v>565</v>
      </c>
      <c r="B245" s="1">
        <v>46272.705488101848</v>
      </c>
      <c r="C245" t="s">
        <v>519</v>
      </c>
      <c r="D245" t="s">
        <v>19</v>
      </c>
      <c r="E245" t="s">
        <v>79</v>
      </c>
      <c r="F245" t="s">
        <v>21</v>
      </c>
      <c r="G245" t="s">
        <v>22</v>
      </c>
      <c r="H245" t="s">
        <v>48</v>
      </c>
      <c r="I245" t="s">
        <v>49</v>
      </c>
      <c r="K245" t="s">
        <v>49</v>
      </c>
      <c r="L245" t="s">
        <v>49</v>
      </c>
      <c r="N245" t="s">
        <v>49</v>
      </c>
      <c r="O245" t="s">
        <v>566</v>
      </c>
      <c r="P245" t="s">
        <v>29</v>
      </c>
      <c r="Q245">
        <v>34135580883</v>
      </c>
      <c r="R245" s="2" t="str">
        <f t="shared" si="23"/>
        <v>java|A1a|B1d|B2a|C1a</v>
      </c>
      <c r="S245" t="str">
        <f t="shared" si="24"/>
        <v>E</v>
      </c>
      <c r="T245" t="str">
        <f t="shared" si="19"/>
        <v>same</v>
      </c>
      <c r="U245" t="str">
        <f t="shared" si="20"/>
        <v/>
      </c>
      <c r="V245" t="str">
        <f t="shared" si="21"/>
        <v/>
      </c>
      <c r="W245" t="str">
        <f t="shared" si="22"/>
        <v>same</v>
      </c>
    </row>
    <row r="246" spans="1:23" x14ac:dyDescent="0.3">
      <c r="A246" t="s">
        <v>567</v>
      </c>
      <c r="B246" s="1">
        <v>46272.706784513888</v>
      </c>
      <c r="C246" t="s">
        <v>519</v>
      </c>
      <c r="D246" t="s">
        <v>19</v>
      </c>
      <c r="E246" t="s">
        <v>79</v>
      </c>
      <c r="F246" t="s">
        <v>21</v>
      </c>
      <c r="G246" t="s">
        <v>238</v>
      </c>
      <c r="H246" t="s">
        <v>48</v>
      </c>
      <c r="I246" t="s">
        <v>520</v>
      </c>
      <c r="J246">
        <v>100</v>
      </c>
      <c r="K246" t="s">
        <v>49</v>
      </c>
      <c r="L246" t="s">
        <v>522</v>
      </c>
      <c r="M246">
        <v>100</v>
      </c>
      <c r="N246" t="s">
        <v>49</v>
      </c>
      <c r="O246" t="s">
        <v>568</v>
      </c>
      <c r="P246" t="s">
        <v>29</v>
      </c>
      <c r="Q246">
        <v>34135640130</v>
      </c>
      <c r="R246" s="2" t="str">
        <f t="shared" si="23"/>
        <v>java|A1a|B1d|B2a|C1b</v>
      </c>
      <c r="S246" t="str">
        <f t="shared" si="24"/>
        <v>E</v>
      </c>
      <c r="T246" t="str">
        <f t="shared" si="19"/>
        <v/>
      </c>
      <c r="U246" t="str">
        <f t="shared" si="20"/>
        <v/>
      </c>
      <c r="V246" t="str">
        <f t="shared" si="21"/>
        <v/>
      </c>
      <c r="W246" t="str">
        <f t="shared" si="22"/>
        <v>same</v>
      </c>
    </row>
    <row r="247" spans="1:23" x14ac:dyDescent="0.3">
      <c r="A247" t="s">
        <v>569</v>
      </c>
      <c r="B247" s="1">
        <v>46272.707319618057</v>
      </c>
      <c r="C247" t="s">
        <v>519</v>
      </c>
      <c r="D247" t="s">
        <v>19</v>
      </c>
      <c r="E247" t="s">
        <v>79</v>
      </c>
      <c r="F247" t="s">
        <v>21</v>
      </c>
      <c r="G247" t="s">
        <v>31</v>
      </c>
      <c r="H247" t="s">
        <v>48</v>
      </c>
      <c r="I247" t="s">
        <v>49</v>
      </c>
      <c r="K247" t="s">
        <v>49</v>
      </c>
      <c r="L247" t="s">
        <v>49</v>
      </c>
      <c r="N247" t="s">
        <v>49</v>
      </c>
      <c r="O247" t="s">
        <v>570</v>
      </c>
      <c r="P247" t="s">
        <v>29</v>
      </c>
      <c r="Q247">
        <v>34135799227</v>
      </c>
      <c r="R247" s="2" t="str">
        <f t="shared" si="23"/>
        <v>java|A1a|B1d|B2a|C1c</v>
      </c>
      <c r="S247" t="str">
        <f t="shared" si="24"/>
        <v>E</v>
      </c>
      <c r="T247" t="str">
        <f t="shared" si="19"/>
        <v/>
      </c>
      <c r="U247" t="str">
        <f t="shared" si="20"/>
        <v/>
      </c>
      <c r="V247" t="str">
        <f t="shared" si="21"/>
        <v/>
      </c>
      <c r="W247" t="str">
        <f t="shared" si="22"/>
        <v>same</v>
      </c>
    </row>
    <row r="248" spans="1:23" x14ac:dyDescent="0.3">
      <c r="A248" t="s">
        <v>571</v>
      </c>
      <c r="B248" s="1">
        <v>46272.708509629629</v>
      </c>
      <c r="C248" t="s">
        <v>519</v>
      </c>
      <c r="D248" t="s">
        <v>19</v>
      </c>
      <c r="E248" t="s">
        <v>79</v>
      </c>
      <c r="F248" t="s">
        <v>34</v>
      </c>
      <c r="G248" t="s">
        <v>22</v>
      </c>
      <c r="H248" t="s">
        <v>35</v>
      </c>
      <c r="I248" t="s">
        <v>520</v>
      </c>
      <c r="J248">
        <v>103</v>
      </c>
      <c r="K248" t="s">
        <v>544</v>
      </c>
      <c r="L248" t="s">
        <v>522</v>
      </c>
      <c r="M248">
        <v>103</v>
      </c>
      <c r="N248" t="s">
        <v>545</v>
      </c>
      <c r="O248" t="s">
        <v>572</v>
      </c>
      <c r="P248" t="s">
        <v>29</v>
      </c>
      <c r="Q248">
        <v>34135865443</v>
      </c>
      <c r="R248" s="2" t="str">
        <f t="shared" si="23"/>
        <v>java|A1a|B1d|B2b|C1a</v>
      </c>
      <c r="S248" t="str">
        <f t="shared" si="24"/>
        <v>M</v>
      </c>
      <c r="T248" t="str">
        <f t="shared" si="19"/>
        <v>same</v>
      </c>
      <c r="U248" t="str">
        <f t="shared" si="20"/>
        <v/>
      </c>
      <c r="V248" t="str">
        <f t="shared" si="21"/>
        <v/>
      </c>
      <c r="W248" t="str">
        <f t="shared" si="22"/>
        <v>same</v>
      </c>
    </row>
    <row r="249" spans="1:23" x14ac:dyDescent="0.3">
      <c r="A249" t="s">
        <v>573</v>
      </c>
      <c r="B249" s="1">
        <v>46272.709692141201</v>
      </c>
      <c r="C249" t="s">
        <v>519</v>
      </c>
      <c r="D249" t="s">
        <v>19</v>
      </c>
      <c r="E249" t="s">
        <v>79</v>
      </c>
      <c r="F249" t="s">
        <v>34</v>
      </c>
      <c r="G249" t="s">
        <v>238</v>
      </c>
      <c r="H249" t="s">
        <v>35</v>
      </c>
      <c r="I249" t="s">
        <v>520</v>
      </c>
      <c r="J249">
        <v>103</v>
      </c>
      <c r="K249" t="s">
        <v>544</v>
      </c>
      <c r="L249" t="s">
        <v>522</v>
      </c>
      <c r="M249">
        <v>103</v>
      </c>
      <c r="N249" t="s">
        <v>545</v>
      </c>
      <c r="O249" t="s">
        <v>574</v>
      </c>
      <c r="P249" t="s">
        <v>29</v>
      </c>
      <c r="Q249">
        <v>34136015042</v>
      </c>
      <c r="R249" s="2" t="str">
        <f t="shared" si="23"/>
        <v>java|A1a|B1d|B2b|C1b</v>
      </c>
      <c r="S249" t="str">
        <f t="shared" si="24"/>
        <v>M</v>
      </c>
      <c r="T249" t="str">
        <f t="shared" si="19"/>
        <v/>
      </c>
      <c r="U249" t="str">
        <f t="shared" si="20"/>
        <v/>
      </c>
      <c r="V249" t="str">
        <f t="shared" si="21"/>
        <v/>
      </c>
      <c r="W249" t="str">
        <f t="shared" si="22"/>
        <v>same</v>
      </c>
    </row>
    <row r="250" spans="1:23" x14ac:dyDescent="0.3">
      <c r="A250" t="s">
        <v>575</v>
      </c>
      <c r="B250" s="1">
        <v>46272.711034548614</v>
      </c>
      <c r="C250" t="s">
        <v>519</v>
      </c>
      <c r="D250" t="s">
        <v>19</v>
      </c>
      <c r="E250" t="s">
        <v>79</v>
      </c>
      <c r="F250" t="s">
        <v>34</v>
      </c>
      <c r="G250" t="s">
        <v>31</v>
      </c>
      <c r="H250" t="s">
        <v>35</v>
      </c>
      <c r="I250" t="s">
        <v>520</v>
      </c>
      <c r="J250">
        <v>103</v>
      </c>
      <c r="K250" t="s">
        <v>544</v>
      </c>
      <c r="L250" t="s">
        <v>522</v>
      </c>
      <c r="M250">
        <v>103</v>
      </c>
      <c r="N250" t="s">
        <v>545</v>
      </c>
      <c r="O250" t="s">
        <v>576</v>
      </c>
      <c r="P250" t="s">
        <v>29</v>
      </c>
      <c r="Q250">
        <v>34136168264</v>
      </c>
      <c r="R250" s="2" t="str">
        <f t="shared" si="23"/>
        <v>java|A1a|B1d|B2b|C1c</v>
      </c>
      <c r="S250" t="str">
        <f t="shared" si="24"/>
        <v>M</v>
      </c>
      <c r="T250" t="str">
        <f t="shared" si="19"/>
        <v/>
      </c>
      <c r="U250" t="str">
        <f t="shared" si="20"/>
        <v/>
      </c>
      <c r="V250" t="str">
        <f t="shared" si="21"/>
        <v/>
      </c>
      <c r="W250" t="str">
        <f t="shared" si="22"/>
        <v>same</v>
      </c>
    </row>
    <row r="251" spans="1:23" x14ac:dyDescent="0.3">
      <c r="A251" t="s">
        <v>577</v>
      </c>
      <c r="B251" s="1">
        <v>46272.712283472225</v>
      </c>
      <c r="C251" t="s">
        <v>519</v>
      </c>
      <c r="D251" t="s">
        <v>92</v>
      </c>
      <c r="E251" t="s">
        <v>20</v>
      </c>
      <c r="F251" t="s">
        <v>21</v>
      </c>
      <c r="G251" t="s">
        <v>22</v>
      </c>
      <c r="H251" t="s">
        <v>23</v>
      </c>
      <c r="I251" t="s">
        <v>520</v>
      </c>
      <c r="J251">
        <v>100</v>
      </c>
      <c r="K251" t="s">
        <v>578</v>
      </c>
      <c r="L251" t="s">
        <v>522</v>
      </c>
      <c r="M251">
        <v>100</v>
      </c>
      <c r="N251" t="s">
        <v>579</v>
      </c>
      <c r="O251" t="s">
        <v>580</v>
      </c>
      <c r="P251" t="s">
        <v>29</v>
      </c>
      <c r="Q251">
        <v>34136339070</v>
      </c>
      <c r="R251" s="2" t="str">
        <f t="shared" si="23"/>
        <v>java|A1b|B1a|B2a|C1a</v>
      </c>
      <c r="S251" t="str">
        <f t="shared" si="24"/>
        <v>P</v>
      </c>
      <c r="T251" t="str">
        <f t="shared" si="19"/>
        <v>same</v>
      </c>
      <c r="U251" t="str">
        <f t="shared" si="20"/>
        <v/>
      </c>
      <c r="V251" t="str">
        <f t="shared" si="21"/>
        <v/>
      </c>
      <c r="W251" t="str">
        <f t="shared" si="22"/>
        <v/>
      </c>
    </row>
    <row r="252" spans="1:23" x14ac:dyDescent="0.3">
      <c r="A252" t="s">
        <v>581</v>
      </c>
      <c r="B252" s="1">
        <v>46272.713573946756</v>
      </c>
      <c r="C252" t="s">
        <v>519</v>
      </c>
      <c r="D252" t="s">
        <v>92</v>
      </c>
      <c r="E252" t="s">
        <v>20</v>
      </c>
      <c r="F252" t="s">
        <v>21</v>
      </c>
      <c r="G252" t="s">
        <v>238</v>
      </c>
      <c r="H252" t="s">
        <v>23</v>
      </c>
      <c r="I252" t="s">
        <v>520</v>
      </c>
      <c r="J252">
        <v>100</v>
      </c>
      <c r="K252" t="s">
        <v>578</v>
      </c>
      <c r="L252" t="s">
        <v>522</v>
      </c>
      <c r="M252">
        <v>100</v>
      </c>
      <c r="N252" t="s">
        <v>579</v>
      </c>
      <c r="O252" t="s">
        <v>582</v>
      </c>
      <c r="P252" t="s">
        <v>29</v>
      </c>
      <c r="Q252">
        <v>34136502603</v>
      </c>
      <c r="R252" s="2" t="str">
        <f t="shared" si="23"/>
        <v>java|A1b|B1a|B2a|C1b</v>
      </c>
      <c r="S252" t="str">
        <f t="shared" si="24"/>
        <v>P</v>
      </c>
      <c r="T252" t="str">
        <f t="shared" si="19"/>
        <v/>
      </c>
      <c r="U252" t="str">
        <f t="shared" si="20"/>
        <v/>
      </c>
      <c r="V252" t="str">
        <f t="shared" si="21"/>
        <v/>
      </c>
      <c r="W252" t="str">
        <f t="shared" si="22"/>
        <v/>
      </c>
    </row>
    <row r="253" spans="1:23" x14ac:dyDescent="0.3">
      <c r="A253" t="s">
        <v>583</v>
      </c>
      <c r="B253" s="1">
        <v>46272.715309861109</v>
      </c>
      <c r="C253" t="s">
        <v>519</v>
      </c>
      <c r="D253" t="s">
        <v>92</v>
      </c>
      <c r="E253" t="s">
        <v>20</v>
      </c>
      <c r="F253" t="s">
        <v>21</v>
      </c>
      <c r="G253" t="s">
        <v>31</v>
      </c>
      <c r="H253" t="s">
        <v>23</v>
      </c>
      <c r="I253" t="s">
        <v>520</v>
      </c>
      <c r="J253">
        <v>100</v>
      </c>
      <c r="K253" t="s">
        <v>578</v>
      </c>
      <c r="L253" t="s">
        <v>522</v>
      </c>
      <c r="M253">
        <v>100</v>
      </c>
      <c r="N253" t="s">
        <v>579</v>
      </c>
      <c r="O253" t="s">
        <v>584</v>
      </c>
      <c r="P253" t="s">
        <v>29</v>
      </c>
      <c r="Q253">
        <v>34136666649</v>
      </c>
      <c r="R253" s="2" t="str">
        <f t="shared" si="23"/>
        <v>java|A1b|B1a|B2a|C1c</v>
      </c>
      <c r="S253" t="str">
        <f t="shared" si="24"/>
        <v>P</v>
      </c>
      <c r="T253" t="str">
        <f t="shared" si="19"/>
        <v/>
      </c>
      <c r="U253" t="str">
        <f t="shared" si="20"/>
        <v/>
      </c>
      <c r="V253" t="str">
        <f t="shared" si="21"/>
        <v/>
      </c>
      <c r="W253" t="str">
        <f t="shared" si="22"/>
        <v/>
      </c>
    </row>
    <row r="254" spans="1:23" x14ac:dyDescent="0.3">
      <c r="A254" t="s">
        <v>585</v>
      </c>
      <c r="B254" s="1">
        <v>46272.717380578702</v>
      </c>
      <c r="C254" t="s">
        <v>519</v>
      </c>
      <c r="D254" t="s">
        <v>92</v>
      </c>
      <c r="E254" t="s">
        <v>20</v>
      </c>
      <c r="F254" t="s">
        <v>34</v>
      </c>
      <c r="G254" t="s">
        <v>22</v>
      </c>
      <c r="H254" t="s">
        <v>35</v>
      </c>
      <c r="I254" t="s">
        <v>520</v>
      </c>
      <c r="J254">
        <v>103</v>
      </c>
      <c r="K254" t="s">
        <v>586</v>
      </c>
      <c r="L254" t="s">
        <v>522</v>
      </c>
      <c r="M254">
        <v>103</v>
      </c>
      <c r="N254" t="s">
        <v>587</v>
      </c>
      <c r="O254" t="s">
        <v>588</v>
      </c>
      <c r="P254" t="s">
        <v>29</v>
      </c>
      <c r="Q254">
        <v>34136893636</v>
      </c>
      <c r="R254" s="2" t="str">
        <f t="shared" si="23"/>
        <v>java|A1b|B1a|B2b|C1a</v>
      </c>
      <c r="S254" t="str">
        <f t="shared" si="24"/>
        <v>M</v>
      </c>
      <c r="T254" t="str">
        <f t="shared" si="19"/>
        <v>same</v>
      </c>
      <c r="U254" t="str">
        <f t="shared" si="20"/>
        <v/>
      </c>
      <c r="V254" t="str">
        <f t="shared" si="21"/>
        <v/>
      </c>
      <c r="W254" t="str">
        <f t="shared" si="22"/>
        <v/>
      </c>
    </row>
    <row r="255" spans="1:23" x14ac:dyDescent="0.3">
      <c r="A255" t="s">
        <v>589</v>
      </c>
      <c r="B255" s="1">
        <v>46272.719670925922</v>
      </c>
      <c r="C255" t="s">
        <v>519</v>
      </c>
      <c r="D255" t="s">
        <v>92</v>
      </c>
      <c r="E255" t="s">
        <v>20</v>
      </c>
      <c r="F255" t="s">
        <v>34</v>
      </c>
      <c r="G255" t="s">
        <v>238</v>
      </c>
      <c r="H255" t="s">
        <v>35</v>
      </c>
      <c r="I255" t="s">
        <v>520</v>
      </c>
      <c r="J255">
        <v>103</v>
      </c>
      <c r="K255" t="s">
        <v>586</v>
      </c>
      <c r="L255" t="s">
        <v>522</v>
      </c>
      <c r="M255">
        <v>103</v>
      </c>
      <c r="N255" t="s">
        <v>587</v>
      </c>
      <c r="O255" t="s">
        <v>590</v>
      </c>
      <c r="P255" t="s">
        <v>29</v>
      </c>
      <c r="Q255">
        <v>34137164810</v>
      </c>
      <c r="R255" s="2" t="str">
        <f t="shared" si="23"/>
        <v>java|A1b|B1a|B2b|C1b</v>
      </c>
      <c r="S255" t="str">
        <f t="shared" si="24"/>
        <v>M</v>
      </c>
      <c r="T255" t="str">
        <f t="shared" si="19"/>
        <v/>
      </c>
      <c r="U255" t="str">
        <f t="shared" si="20"/>
        <v/>
      </c>
      <c r="V255" t="str">
        <f t="shared" si="21"/>
        <v/>
      </c>
      <c r="W255" t="str">
        <f t="shared" si="22"/>
        <v/>
      </c>
    </row>
    <row r="256" spans="1:23" x14ac:dyDescent="0.3">
      <c r="A256" t="s">
        <v>591</v>
      </c>
      <c r="B256" s="1">
        <v>46272.722510474538</v>
      </c>
      <c r="C256" t="s">
        <v>519</v>
      </c>
      <c r="D256" t="s">
        <v>92</v>
      </c>
      <c r="E256" t="s">
        <v>20</v>
      </c>
      <c r="F256" t="s">
        <v>34</v>
      </c>
      <c r="G256" t="s">
        <v>31</v>
      </c>
      <c r="H256" t="s">
        <v>35</v>
      </c>
      <c r="I256" t="s">
        <v>520</v>
      </c>
      <c r="J256">
        <v>103</v>
      </c>
      <c r="K256" t="s">
        <v>586</v>
      </c>
      <c r="L256" t="s">
        <v>522</v>
      </c>
      <c r="M256">
        <v>103</v>
      </c>
      <c r="N256" t="s">
        <v>587</v>
      </c>
      <c r="O256" t="s">
        <v>592</v>
      </c>
      <c r="P256" t="s">
        <v>29</v>
      </c>
      <c r="Q256">
        <v>34137462716</v>
      </c>
      <c r="R256" s="2" t="str">
        <f t="shared" si="23"/>
        <v>java|A1b|B1a|B2b|C1c</v>
      </c>
      <c r="S256" t="str">
        <f t="shared" si="24"/>
        <v>M</v>
      </c>
      <c r="T256" t="str">
        <f t="shared" si="19"/>
        <v/>
      </c>
      <c r="U256" t="str">
        <f t="shared" si="20"/>
        <v/>
      </c>
      <c r="V256" t="str">
        <f t="shared" si="21"/>
        <v/>
      </c>
      <c r="W256" t="str">
        <f t="shared" si="22"/>
        <v/>
      </c>
    </row>
    <row r="257" spans="1:23" x14ac:dyDescent="0.3">
      <c r="A257" t="s">
        <v>593</v>
      </c>
      <c r="B257" s="1">
        <v>46272.724967951392</v>
      </c>
      <c r="C257" t="s">
        <v>519</v>
      </c>
      <c r="D257" t="s">
        <v>92</v>
      </c>
      <c r="E257" t="s">
        <v>47</v>
      </c>
      <c r="F257" t="s">
        <v>21</v>
      </c>
      <c r="G257" t="s">
        <v>22</v>
      </c>
      <c r="H257" t="s">
        <v>23</v>
      </c>
      <c r="I257" t="s">
        <v>520</v>
      </c>
      <c r="J257">
        <v>100</v>
      </c>
      <c r="K257" t="s">
        <v>578</v>
      </c>
      <c r="L257" t="s">
        <v>522</v>
      </c>
      <c r="M257">
        <v>100</v>
      </c>
      <c r="N257" t="s">
        <v>579</v>
      </c>
      <c r="O257" t="s">
        <v>594</v>
      </c>
      <c r="P257" t="s">
        <v>29</v>
      </c>
      <c r="Q257">
        <v>34137813273</v>
      </c>
      <c r="R257" s="2" t="str">
        <f t="shared" si="23"/>
        <v>java|A1b|B1b|B2a|C1a</v>
      </c>
      <c r="S257" t="str">
        <f t="shared" si="24"/>
        <v>P</v>
      </c>
      <c r="T257" t="str">
        <f t="shared" si="19"/>
        <v>same</v>
      </c>
      <c r="U257" t="str">
        <f t="shared" si="20"/>
        <v/>
      </c>
      <c r="V257" t="str">
        <f t="shared" si="21"/>
        <v/>
      </c>
      <c r="W257" t="str">
        <f t="shared" si="22"/>
        <v/>
      </c>
    </row>
    <row r="258" spans="1:23" x14ac:dyDescent="0.3">
      <c r="A258" t="s">
        <v>595</v>
      </c>
      <c r="B258" s="1">
        <v>46272.72757865741</v>
      </c>
      <c r="C258" t="s">
        <v>519</v>
      </c>
      <c r="D258" t="s">
        <v>92</v>
      </c>
      <c r="E258" t="s">
        <v>47</v>
      </c>
      <c r="F258" t="s">
        <v>21</v>
      </c>
      <c r="G258" t="s">
        <v>238</v>
      </c>
      <c r="H258" t="s">
        <v>23</v>
      </c>
      <c r="I258" t="s">
        <v>520</v>
      </c>
      <c r="J258">
        <v>100</v>
      </c>
      <c r="K258" t="s">
        <v>578</v>
      </c>
      <c r="L258" t="s">
        <v>522</v>
      </c>
      <c r="M258">
        <v>100</v>
      </c>
      <c r="N258" t="s">
        <v>579</v>
      </c>
      <c r="O258" t="s">
        <v>596</v>
      </c>
      <c r="P258" t="s">
        <v>29</v>
      </c>
      <c r="Q258">
        <v>34138121078</v>
      </c>
      <c r="R258" s="2" t="str">
        <f t="shared" si="23"/>
        <v>java|A1b|B1b|B2a|C1b</v>
      </c>
      <c r="S258" t="str">
        <f t="shared" si="24"/>
        <v>P</v>
      </c>
      <c r="T258" t="str">
        <f t="shared" ref="T258:T321" si="25">IF(G258="C1a",IF(H258=VLOOKUP(SUBSTITUTE(A258,"_C1a","_C1c"),$A:$H,8,FALSE),"same","DIFF"),"")</f>
        <v/>
      </c>
      <c r="U258" t="str">
        <f t="shared" ref="U258:U321" si="26">IF(AND(C258="nodejs",E258="B1b"),IF(H258=VLOOKUP(SUBSTITUTE(A258,"_B1b_","_B1d_"),$A:$H,8,FALSE),"same","DIFF"),"")</f>
        <v/>
      </c>
      <c r="V258" t="str">
        <f t="shared" ref="V258:V321" si="27">IF(AND(C258="nodejs",E258="B1c",H258&lt;&gt;"invalid_configuration"),IF(H258=VLOOKUP(SUBSTITUTE(A258,"_B1c_","_B1b_"),$A:$H,8,FALSE),"same","DIFF"),"")</f>
        <v/>
      </c>
      <c r="W258" t="str">
        <f t="shared" ref="W258:W321" si="28">IF(D258="A1a",IF(H258=VLOOKUP(SUBSTITUTE(A258,"_A1a_","_A1b_"),$A:$H,8,FALSE),"same","DIFF"),"")</f>
        <v/>
      </c>
    </row>
    <row r="259" spans="1:23" x14ac:dyDescent="0.3">
      <c r="A259" t="s">
        <v>597</v>
      </c>
      <c r="B259" s="1">
        <v>46272.730037152774</v>
      </c>
      <c r="C259" t="s">
        <v>519</v>
      </c>
      <c r="D259" t="s">
        <v>92</v>
      </c>
      <c r="E259" t="s">
        <v>47</v>
      </c>
      <c r="F259" t="s">
        <v>21</v>
      </c>
      <c r="G259" t="s">
        <v>31</v>
      </c>
      <c r="H259" t="s">
        <v>23</v>
      </c>
      <c r="I259" t="s">
        <v>520</v>
      </c>
      <c r="J259">
        <v>100</v>
      </c>
      <c r="K259" t="s">
        <v>578</v>
      </c>
      <c r="L259" t="s">
        <v>522</v>
      </c>
      <c r="M259">
        <v>100</v>
      </c>
      <c r="N259" t="s">
        <v>579</v>
      </c>
      <c r="O259" t="s">
        <v>598</v>
      </c>
      <c r="P259" t="s">
        <v>29</v>
      </c>
      <c r="Q259">
        <v>34138446277</v>
      </c>
      <c r="R259" s="2" t="str">
        <f t="shared" ref="R259:R322" si="29">C259&amp;"|"&amp;D259&amp;"|"&amp;E259&amp;"|"&amp;F259&amp;"|"&amp;G259</f>
        <v>java|A1b|B1b|B2a|C1c</v>
      </c>
      <c r="S259" t="str">
        <f t="shared" ref="S259:S322" si="30">IF(H259="malicious_resolved","M",IF(H259="private_resolved","P",IF(H259="resolution_error","E","-")))</f>
        <v>P</v>
      </c>
      <c r="T259" t="str">
        <f t="shared" si="25"/>
        <v/>
      </c>
      <c r="U259" t="str">
        <f t="shared" si="26"/>
        <v/>
      </c>
      <c r="V259" t="str">
        <f t="shared" si="27"/>
        <v/>
      </c>
      <c r="W259" t="str">
        <f t="shared" si="28"/>
        <v/>
      </c>
    </row>
    <row r="260" spans="1:23" x14ac:dyDescent="0.3">
      <c r="A260" t="s">
        <v>599</v>
      </c>
      <c r="B260" s="1">
        <v>46272.731898738428</v>
      </c>
      <c r="C260" t="s">
        <v>519</v>
      </c>
      <c r="D260" t="s">
        <v>92</v>
      </c>
      <c r="E260" t="s">
        <v>47</v>
      </c>
      <c r="F260" t="s">
        <v>34</v>
      </c>
      <c r="G260" t="s">
        <v>22</v>
      </c>
      <c r="H260" t="s">
        <v>35</v>
      </c>
      <c r="I260" t="s">
        <v>520</v>
      </c>
      <c r="J260">
        <v>103</v>
      </c>
      <c r="K260" t="s">
        <v>544</v>
      </c>
      <c r="L260" t="s">
        <v>522</v>
      </c>
      <c r="M260">
        <v>103</v>
      </c>
      <c r="N260" t="s">
        <v>545</v>
      </c>
      <c r="O260" t="s">
        <v>600</v>
      </c>
      <c r="P260" t="s">
        <v>29</v>
      </c>
      <c r="Q260">
        <v>34138749414</v>
      </c>
      <c r="R260" s="2" t="str">
        <f t="shared" si="29"/>
        <v>java|A1b|B1b|B2b|C1a</v>
      </c>
      <c r="S260" t="str">
        <f t="shared" si="30"/>
        <v>M</v>
      </c>
      <c r="T260" t="str">
        <f t="shared" si="25"/>
        <v>same</v>
      </c>
      <c r="U260" t="str">
        <f t="shared" si="26"/>
        <v/>
      </c>
      <c r="V260" t="str">
        <f t="shared" si="27"/>
        <v/>
      </c>
      <c r="W260" t="str">
        <f t="shared" si="28"/>
        <v/>
      </c>
    </row>
    <row r="261" spans="1:23" x14ac:dyDescent="0.3">
      <c r="A261" t="s">
        <v>601</v>
      </c>
      <c r="B261" s="1">
        <v>46272.733886064816</v>
      </c>
      <c r="C261" t="s">
        <v>519</v>
      </c>
      <c r="D261" t="s">
        <v>92</v>
      </c>
      <c r="E261" t="s">
        <v>47</v>
      </c>
      <c r="F261" t="s">
        <v>34</v>
      </c>
      <c r="G261" t="s">
        <v>238</v>
      </c>
      <c r="H261" t="s">
        <v>35</v>
      </c>
      <c r="I261" t="s">
        <v>520</v>
      </c>
      <c r="J261">
        <v>103</v>
      </c>
      <c r="K261" t="s">
        <v>544</v>
      </c>
      <c r="L261" t="s">
        <v>522</v>
      </c>
      <c r="M261">
        <v>103</v>
      </c>
      <c r="N261" t="s">
        <v>545</v>
      </c>
      <c r="O261" t="s">
        <v>602</v>
      </c>
      <c r="P261" t="s">
        <v>29</v>
      </c>
      <c r="Q261">
        <v>34138973408</v>
      </c>
      <c r="R261" s="2" t="str">
        <f t="shared" si="29"/>
        <v>java|A1b|B1b|B2b|C1b</v>
      </c>
      <c r="S261" t="str">
        <f t="shared" si="30"/>
        <v>M</v>
      </c>
      <c r="T261" t="str">
        <f t="shared" si="25"/>
        <v/>
      </c>
      <c r="U261" t="str">
        <f t="shared" si="26"/>
        <v/>
      </c>
      <c r="V261" t="str">
        <f t="shared" si="27"/>
        <v/>
      </c>
      <c r="W261" t="str">
        <f t="shared" si="28"/>
        <v/>
      </c>
    </row>
    <row r="262" spans="1:23" x14ac:dyDescent="0.3">
      <c r="A262" t="s">
        <v>603</v>
      </c>
      <c r="B262" s="1">
        <v>46272.736144409719</v>
      </c>
      <c r="C262" t="s">
        <v>519</v>
      </c>
      <c r="D262" t="s">
        <v>92</v>
      </c>
      <c r="E262" t="s">
        <v>47</v>
      </c>
      <c r="F262" t="s">
        <v>34</v>
      </c>
      <c r="G262" t="s">
        <v>31</v>
      </c>
      <c r="H262" t="s">
        <v>35</v>
      </c>
      <c r="I262" t="s">
        <v>520</v>
      </c>
      <c r="J262">
        <v>103</v>
      </c>
      <c r="K262" t="s">
        <v>544</v>
      </c>
      <c r="L262" t="s">
        <v>522</v>
      </c>
      <c r="M262">
        <v>103</v>
      </c>
      <c r="N262" t="s">
        <v>545</v>
      </c>
      <c r="O262" t="s">
        <v>604</v>
      </c>
      <c r="P262" t="s">
        <v>29</v>
      </c>
      <c r="Q262">
        <v>34139220418</v>
      </c>
      <c r="R262" s="2" t="str">
        <f t="shared" si="29"/>
        <v>java|A1b|B1b|B2b|C1c</v>
      </c>
      <c r="S262" t="str">
        <f t="shared" si="30"/>
        <v>M</v>
      </c>
      <c r="T262" t="str">
        <f t="shared" si="25"/>
        <v/>
      </c>
      <c r="U262" t="str">
        <f t="shared" si="26"/>
        <v/>
      </c>
      <c r="V262" t="str">
        <f t="shared" si="27"/>
        <v/>
      </c>
      <c r="W262" t="str">
        <f t="shared" si="28"/>
        <v/>
      </c>
    </row>
    <row r="263" spans="1:23" x14ac:dyDescent="0.3">
      <c r="A263" t="s">
        <v>605</v>
      </c>
      <c r="B263" s="1">
        <v>46272.739102465275</v>
      </c>
      <c r="C263" t="s">
        <v>519</v>
      </c>
      <c r="D263" t="s">
        <v>92</v>
      </c>
      <c r="E263" t="s">
        <v>64</v>
      </c>
      <c r="F263" t="s">
        <v>21</v>
      </c>
      <c r="G263" t="s">
        <v>22</v>
      </c>
      <c r="H263" t="s">
        <v>23</v>
      </c>
      <c r="I263" t="s">
        <v>520</v>
      </c>
      <c r="J263">
        <v>100</v>
      </c>
      <c r="K263" t="s">
        <v>578</v>
      </c>
      <c r="L263" t="s">
        <v>522</v>
      </c>
      <c r="M263">
        <v>100</v>
      </c>
      <c r="N263" t="s">
        <v>579</v>
      </c>
      <c r="O263" t="s">
        <v>606</v>
      </c>
      <c r="P263" t="s">
        <v>29</v>
      </c>
      <c r="Q263">
        <v>34139490870</v>
      </c>
      <c r="R263" s="2" t="str">
        <f t="shared" si="29"/>
        <v>java|A1b|B1c|B2a|C1a</v>
      </c>
      <c r="S263" t="str">
        <f t="shared" si="30"/>
        <v>P</v>
      </c>
      <c r="T263" t="str">
        <f t="shared" si="25"/>
        <v>same</v>
      </c>
      <c r="U263" t="str">
        <f t="shared" si="26"/>
        <v/>
      </c>
      <c r="V263" t="str">
        <f t="shared" si="27"/>
        <v/>
      </c>
      <c r="W263" t="str">
        <f t="shared" si="28"/>
        <v/>
      </c>
    </row>
    <row r="264" spans="1:23" x14ac:dyDescent="0.3">
      <c r="A264" t="s">
        <v>607</v>
      </c>
      <c r="B264" s="1">
        <v>46272.741371099539</v>
      </c>
      <c r="C264" t="s">
        <v>519</v>
      </c>
      <c r="D264" t="s">
        <v>92</v>
      </c>
      <c r="E264" t="s">
        <v>64</v>
      </c>
      <c r="F264" t="s">
        <v>21</v>
      </c>
      <c r="G264" t="s">
        <v>238</v>
      </c>
      <c r="H264" t="s">
        <v>23</v>
      </c>
      <c r="I264" t="s">
        <v>520</v>
      </c>
      <c r="J264">
        <v>100</v>
      </c>
      <c r="K264" t="s">
        <v>578</v>
      </c>
      <c r="L264" t="s">
        <v>522</v>
      </c>
      <c r="M264">
        <v>100</v>
      </c>
      <c r="N264" t="s">
        <v>579</v>
      </c>
      <c r="O264" t="s">
        <v>608</v>
      </c>
      <c r="P264" t="s">
        <v>29</v>
      </c>
      <c r="Q264">
        <v>34139841001</v>
      </c>
      <c r="R264" s="2" t="str">
        <f t="shared" si="29"/>
        <v>java|A1b|B1c|B2a|C1b</v>
      </c>
      <c r="S264" t="str">
        <f t="shared" si="30"/>
        <v>P</v>
      </c>
      <c r="T264" t="str">
        <f t="shared" si="25"/>
        <v/>
      </c>
      <c r="U264" t="str">
        <f t="shared" si="26"/>
        <v/>
      </c>
      <c r="V264" t="str">
        <f t="shared" si="27"/>
        <v/>
      </c>
      <c r="W264" t="str">
        <f t="shared" si="28"/>
        <v/>
      </c>
    </row>
    <row r="265" spans="1:23" x14ac:dyDescent="0.3">
      <c r="A265" t="s">
        <v>609</v>
      </c>
      <c r="B265" s="1">
        <v>46272.743650416669</v>
      </c>
      <c r="C265" t="s">
        <v>519</v>
      </c>
      <c r="D265" t="s">
        <v>92</v>
      </c>
      <c r="E265" t="s">
        <v>64</v>
      </c>
      <c r="F265" t="s">
        <v>21</v>
      </c>
      <c r="G265" t="s">
        <v>31</v>
      </c>
      <c r="H265" t="s">
        <v>23</v>
      </c>
      <c r="I265" t="s">
        <v>520</v>
      </c>
      <c r="J265">
        <v>100</v>
      </c>
      <c r="K265" t="s">
        <v>578</v>
      </c>
      <c r="L265" t="s">
        <v>522</v>
      </c>
      <c r="M265">
        <v>100</v>
      </c>
      <c r="N265" t="s">
        <v>579</v>
      </c>
      <c r="O265" t="s">
        <v>610</v>
      </c>
      <c r="P265" t="s">
        <v>29</v>
      </c>
      <c r="Q265">
        <v>34140117606</v>
      </c>
      <c r="R265" s="2" t="str">
        <f t="shared" si="29"/>
        <v>java|A1b|B1c|B2a|C1c</v>
      </c>
      <c r="S265" t="str">
        <f t="shared" si="30"/>
        <v>P</v>
      </c>
      <c r="T265" t="str">
        <f t="shared" si="25"/>
        <v/>
      </c>
      <c r="U265" t="str">
        <f t="shared" si="26"/>
        <v/>
      </c>
      <c r="V265" t="str">
        <f t="shared" si="27"/>
        <v/>
      </c>
      <c r="W265" t="str">
        <f t="shared" si="28"/>
        <v/>
      </c>
    </row>
    <row r="266" spans="1:23" x14ac:dyDescent="0.3">
      <c r="A266" t="s">
        <v>611</v>
      </c>
      <c r="B266" s="1">
        <v>46272.745510914348</v>
      </c>
      <c r="C266" t="s">
        <v>519</v>
      </c>
      <c r="D266" t="s">
        <v>92</v>
      </c>
      <c r="E266" t="s">
        <v>64</v>
      </c>
      <c r="F266" t="s">
        <v>34</v>
      </c>
      <c r="G266" t="s">
        <v>22</v>
      </c>
      <c r="H266" t="s">
        <v>35</v>
      </c>
      <c r="I266" t="s">
        <v>520</v>
      </c>
      <c r="J266">
        <v>103</v>
      </c>
      <c r="K266" t="s">
        <v>558</v>
      </c>
      <c r="L266" t="s">
        <v>522</v>
      </c>
      <c r="M266">
        <v>103</v>
      </c>
      <c r="N266" t="s">
        <v>559</v>
      </c>
      <c r="O266" t="s">
        <v>612</v>
      </c>
      <c r="P266" t="s">
        <v>29</v>
      </c>
      <c r="Q266">
        <v>34140391303</v>
      </c>
      <c r="R266" s="2" t="str">
        <f t="shared" si="29"/>
        <v>java|A1b|B1c|B2b|C1a</v>
      </c>
      <c r="S266" t="str">
        <f t="shared" si="30"/>
        <v>M</v>
      </c>
      <c r="T266" t="str">
        <f t="shared" si="25"/>
        <v>same</v>
      </c>
      <c r="U266" t="str">
        <f t="shared" si="26"/>
        <v/>
      </c>
      <c r="V266" t="str">
        <f t="shared" si="27"/>
        <v/>
      </c>
      <c r="W266" t="str">
        <f t="shared" si="28"/>
        <v/>
      </c>
    </row>
    <row r="267" spans="1:23" x14ac:dyDescent="0.3">
      <c r="A267" t="s">
        <v>613</v>
      </c>
      <c r="B267" s="1">
        <v>46272.746719039351</v>
      </c>
      <c r="C267" t="s">
        <v>519</v>
      </c>
      <c r="D267" t="s">
        <v>92</v>
      </c>
      <c r="E267" t="s">
        <v>64</v>
      </c>
      <c r="F267" t="s">
        <v>34</v>
      </c>
      <c r="G267" t="s">
        <v>238</v>
      </c>
      <c r="H267" t="s">
        <v>35</v>
      </c>
      <c r="I267" t="s">
        <v>520</v>
      </c>
      <c r="J267">
        <v>103</v>
      </c>
      <c r="K267" t="s">
        <v>558</v>
      </c>
      <c r="L267" t="s">
        <v>522</v>
      </c>
      <c r="M267">
        <v>103</v>
      </c>
      <c r="N267" t="s">
        <v>559</v>
      </c>
      <c r="O267" t="s">
        <v>614</v>
      </c>
      <c r="P267" t="s">
        <v>29</v>
      </c>
      <c r="Q267">
        <v>34140607444</v>
      </c>
      <c r="R267" s="2" t="str">
        <f t="shared" si="29"/>
        <v>java|A1b|B1c|B2b|C1b</v>
      </c>
      <c r="S267" t="str">
        <f t="shared" si="30"/>
        <v>M</v>
      </c>
      <c r="T267" t="str">
        <f t="shared" si="25"/>
        <v/>
      </c>
      <c r="U267" t="str">
        <f t="shared" si="26"/>
        <v/>
      </c>
      <c r="V267" t="str">
        <f t="shared" si="27"/>
        <v/>
      </c>
      <c r="W267" t="str">
        <f t="shared" si="28"/>
        <v/>
      </c>
    </row>
    <row r="268" spans="1:23" x14ac:dyDescent="0.3">
      <c r="A268" t="s">
        <v>615</v>
      </c>
      <c r="B268" s="1">
        <v>46272.748646319444</v>
      </c>
      <c r="C268" t="s">
        <v>519</v>
      </c>
      <c r="D268" t="s">
        <v>92</v>
      </c>
      <c r="E268" t="s">
        <v>64</v>
      </c>
      <c r="F268" t="s">
        <v>34</v>
      </c>
      <c r="G268" t="s">
        <v>31</v>
      </c>
      <c r="H268" t="s">
        <v>35</v>
      </c>
      <c r="I268" t="s">
        <v>520</v>
      </c>
      <c r="J268">
        <v>103</v>
      </c>
      <c r="K268" t="s">
        <v>558</v>
      </c>
      <c r="L268" t="s">
        <v>522</v>
      </c>
      <c r="M268">
        <v>103</v>
      </c>
      <c r="N268" t="s">
        <v>559</v>
      </c>
      <c r="O268" t="s">
        <v>616</v>
      </c>
      <c r="P268" t="s">
        <v>29</v>
      </c>
      <c r="Q268">
        <v>34140750490</v>
      </c>
      <c r="R268" s="2" t="str">
        <f t="shared" si="29"/>
        <v>java|A1b|B1c|B2b|C1c</v>
      </c>
      <c r="S268" t="str">
        <f t="shared" si="30"/>
        <v>M</v>
      </c>
      <c r="T268" t="str">
        <f t="shared" si="25"/>
        <v/>
      </c>
      <c r="U268" t="str">
        <f t="shared" si="26"/>
        <v/>
      </c>
      <c r="V268" t="str">
        <f t="shared" si="27"/>
        <v/>
      </c>
      <c r="W268" t="str">
        <f t="shared" si="28"/>
        <v/>
      </c>
    </row>
    <row r="269" spans="1:23" x14ac:dyDescent="0.3">
      <c r="A269" t="s">
        <v>617</v>
      </c>
      <c r="B269" s="1">
        <v>46272.749132349534</v>
      </c>
      <c r="C269" t="s">
        <v>519</v>
      </c>
      <c r="D269" t="s">
        <v>92</v>
      </c>
      <c r="E269" t="s">
        <v>79</v>
      </c>
      <c r="F269" t="s">
        <v>21</v>
      </c>
      <c r="G269" t="s">
        <v>22</v>
      </c>
      <c r="H269" t="s">
        <v>48</v>
      </c>
      <c r="I269" t="s">
        <v>49</v>
      </c>
      <c r="K269" t="s">
        <v>49</v>
      </c>
      <c r="L269" t="s">
        <v>49</v>
      </c>
      <c r="N269" t="s">
        <v>49</v>
      </c>
      <c r="O269" t="s">
        <v>618</v>
      </c>
      <c r="P269" t="s">
        <v>29</v>
      </c>
      <c r="Q269">
        <v>34140971217</v>
      </c>
      <c r="R269" s="2" t="str">
        <f t="shared" si="29"/>
        <v>java|A1b|B1d|B2a|C1a</v>
      </c>
      <c r="S269" t="str">
        <f t="shared" si="30"/>
        <v>E</v>
      </c>
      <c r="T269" t="str">
        <f t="shared" si="25"/>
        <v>same</v>
      </c>
      <c r="U269" t="str">
        <f t="shared" si="26"/>
        <v/>
      </c>
      <c r="V269" t="str">
        <f t="shared" si="27"/>
        <v/>
      </c>
      <c r="W269" t="str">
        <f t="shared" si="28"/>
        <v/>
      </c>
    </row>
    <row r="270" spans="1:23" x14ac:dyDescent="0.3">
      <c r="A270" t="s">
        <v>619</v>
      </c>
      <c r="B270" s="1">
        <v>46272.750375740739</v>
      </c>
      <c r="C270" t="s">
        <v>519</v>
      </c>
      <c r="D270" t="s">
        <v>92</v>
      </c>
      <c r="E270" t="s">
        <v>79</v>
      </c>
      <c r="F270" t="s">
        <v>21</v>
      </c>
      <c r="G270" t="s">
        <v>238</v>
      </c>
      <c r="H270" t="s">
        <v>48</v>
      </c>
      <c r="I270" t="s">
        <v>520</v>
      </c>
      <c r="J270">
        <v>100</v>
      </c>
      <c r="K270" t="s">
        <v>49</v>
      </c>
      <c r="L270" t="s">
        <v>522</v>
      </c>
      <c r="M270">
        <v>100</v>
      </c>
      <c r="N270" t="s">
        <v>49</v>
      </c>
      <c r="O270" t="s">
        <v>620</v>
      </c>
      <c r="P270" t="s">
        <v>29</v>
      </c>
      <c r="Q270">
        <v>34141026105</v>
      </c>
      <c r="R270" s="2" t="str">
        <f t="shared" si="29"/>
        <v>java|A1b|B1d|B2a|C1b</v>
      </c>
      <c r="S270" t="str">
        <f t="shared" si="30"/>
        <v>E</v>
      </c>
      <c r="T270" t="str">
        <f t="shared" si="25"/>
        <v/>
      </c>
      <c r="U270" t="str">
        <f t="shared" si="26"/>
        <v/>
      </c>
      <c r="V270" t="str">
        <f t="shared" si="27"/>
        <v/>
      </c>
      <c r="W270" t="str">
        <f t="shared" si="28"/>
        <v/>
      </c>
    </row>
    <row r="271" spans="1:23" x14ac:dyDescent="0.3">
      <c r="A271" t="s">
        <v>621</v>
      </c>
      <c r="B271" s="1">
        <v>46272.750870509262</v>
      </c>
      <c r="C271" t="s">
        <v>519</v>
      </c>
      <c r="D271" t="s">
        <v>92</v>
      </c>
      <c r="E271" t="s">
        <v>79</v>
      </c>
      <c r="F271" t="s">
        <v>21</v>
      </c>
      <c r="G271" t="s">
        <v>31</v>
      </c>
      <c r="H271" t="s">
        <v>48</v>
      </c>
      <c r="I271" t="s">
        <v>49</v>
      </c>
      <c r="K271" t="s">
        <v>49</v>
      </c>
      <c r="L271" t="s">
        <v>49</v>
      </c>
      <c r="N271" t="s">
        <v>49</v>
      </c>
      <c r="O271" t="s">
        <v>622</v>
      </c>
      <c r="P271" t="s">
        <v>29</v>
      </c>
      <c r="Q271">
        <v>34141175264</v>
      </c>
      <c r="R271" s="2" t="str">
        <f t="shared" si="29"/>
        <v>java|A1b|B1d|B2a|C1c</v>
      </c>
      <c r="S271" t="str">
        <f t="shared" si="30"/>
        <v>E</v>
      </c>
      <c r="T271" t="str">
        <f t="shared" si="25"/>
        <v/>
      </c>
      <c r="U271" t="str">
        <f t="shared" si="26"/>
        <v/>
      </c>
      <c r="V271" t="str">
        <f t="shared" si="27"/>
        <v/>
      </c>
      <c r="W271" t="str">
        <f t="shared" si="28"/>
        <v/>
      </c>
    </row>
    <row r="272" spans="1:23" x14ac:dyDescent="0.3">
      <c r="A272" t="s">
        <v>623</v>
      </c>
      <c r="B272" s="1">
        <v>46272.752024016205</v>
      </c>
      <c r="C272" t="s">
        <v>519</v>
      </c>
      <c r="D272" t="s">
        <v>92</v>
      </c>
      <c r="E272" t="s">
        <v>79</v>
      </c>
      <c r="F272" t="s">
        <v>34</v>
      </c>
      <c r="G272" t="s">
        <v>22</v>
      </c>
      <c r="H272" t="s">
        <v>35</v>
      </c>
      <c r="I272" t="s">
        <v>520</v>
      </c>
      <c r="J272">
        <v>103</v>
      </c>
      <c r="K272" t="s">
        <v>544</v>
      </c>
      <c r="L272" t="s">
        <v>522</v>
      </c>
      <c r="M272">
        <v>103</v>
      </c>
      <c r="N272" t="s">
        <v>545</v>
      </c>
      <c r="O272" t="s">
        <v>624</v>
      </c>
      <c r="P272" t="s">
        <v>29</v>
      </c>
      <c r="Q272">
        <v>34141235179</v>
      </c>
      <c r="R272" s="2" t="str">
        <f t="shared" si="29"/>
        <v>java|A1b|B1d|B2b|C1a</v>
      </c>
      <c r="S272" t="str">
        <f t="shared" si="30"/>
        <v>M</v>
      </c>
      <c r="T272" t="str">
        <f t="shared" si="25"/>
        <v>same</v>
      </c>
      <c r="U272" t="str">
        <f t="shared" si="26"/>
        <v/>
      </c>
      <c r="V272" t="str">
        <f t="shared" si="27"/>
        <v/>
      </c>
      <c r="W272" t="str">
        <f t="shared" si="28"/>
        <v/>
      </c>
    </row>
    <row r="273" spans="1:23" x14ac:dyDescent="0.3">
      <c r="A273" t="s">
        <v>625</v>
      </c>
      <c r="B273" s="1">
        <v>46272.753521979168</v>
      </c>
      <c r="C273" t="s">
        <v>519</v>
      </c>
      <c r="D273" t="s">
        <v>92</v>
      </c>
      <c r="E273" t="s">
        <v>79</v>
      </c>
      <c r="F273" t="s">
        <v>34</v>
      </c>
      <c r="G273" t="s">
        <v>238</v>
      </c>
      <c r="H273" t="s">
        <v>35</v>
      </c>
      <c r="I273" t="s">
        <v>520</v>
      </c>
      <c r="J273">
        <v>103</v>
      </c>
      <c r="K273" t="s">
        <v>544</v>
      </c>
      <c r="L273" t="s">
        <v>522</v>
      </c>
      <c r="M273">
        <v>103</v>
      </c>
      <c r="N273" t="s">
        <v>545</v>
      </c>
      <c r="O273" t="s">
        <v>626</v>
      </c>
      <c r="P273" t="s">
        <v>29</v>
      </c>
      <c r="Q273">
        <v>34141372199</v>
      </c>
      <c r="R273" s="2" t="str">
        <f t="shared" si="29"/>
        <v>java|A1b|B1d|B2b|C1b</v>
      </c>
      <c r="S273" t="str">
        <f t="shared" si="30"/>
        <v>M</v>
      </c>
      <c r="T273" t="str">
        <f t="shared" si="25"/>
        <v/>
      </c>
      <c r="U273" t="str">
        <f t="shared" si="26"/>
        <v/>
      </c>
      <c r="V273" t="str">
        <f t="shared" si="27"/>
        <v/>
      </c>
      <c r="W273" t="str">
        <f t="shared" si="28"/>
        <v/>
      </c>
    </row>
    <row r="274" spans="1:23" x14ac:dyDescent="0.3">
      <c r="A274" t="s">
        <v>627</v>
      </c>
      <c r="B274" s="1">
        <v>46272.754769594911</v>
      </c>
      <c r="C274" t="s">
        <v>519</v>
      </c>
      <c r="D274" t="s">
        <v>92</v>
      </c>
      <c r="E274" t="s">
        <v>79</v>
      </c>
      <c r="F274" t="s">
        <v>34</v>
      </c>
      <c r="G274" t="s">
        <v>31</v>
      </c>
      <c r="H274" t="s">
        <v>35</v>
      </c>
      <c r="I274" t="s">
        <v>520</v>
      </c>
      <c r="J274">
        <v>103</v>
      </c>
      <c r="K274" t="s">
        <v>544</v>
      </c>
      <c r="L274" t="s">
        <v>522</v>
      </c>
      <c r="M274">
        <v>103</v>
      </c>
      <c r="N274" t="s">
        <v>545</v>
      </c>
      <c r="O274" t="s">
        <v>628</v>
      </c>
      <c r="P274" t="s">
        <v>29</v>
      </c>
      <c r="Q274">
        <v>34141550249</v>
      </c>
      <c r="R274" s="2" t="str">
        <f t="shared" si="29"/>
        <v>java|A1b|B1d|B2b|C1c</v>
      </c>
      <c r="S274" t="str">
        <f t="shared" si="30"/>
        <v>M</v>
      </c>
      <c r="T274" t="str">
        <f t="shared" si="25"/>
        <v/>
      </c>
      <c r="U274" t="str">
        <f t="shared" si="26"/>
        <v/>
      </c>
      <c r="V274" t="str">
        <f t="shared" si="27"/>
        <v/>
      </c>
      <c r="W274" t="str">
        <f t="shared" si="28"/>
        <v/>
      </c>
    </row>
    <row r="275" spans="1:23" x14ac:dyDescent="0.3">
      <c r="A275" t="s">
        <v>629</v>
      </c>
      <c r="B275" s="1">
        <v>46272.755213530094</v>
      </c>
      <c r="C275" t="s">
        <v>519</v>
      </c>
      <c r="D275" t="s">
        <v>145</v>
      </c>
      <c r="E275" t="s">
        <v>20</v>
      </c>
      <c r="F275" t="s">
        <v>21</v>
      </c>
      <c r="G275" t="s">
        <v>22</v>
      </c>
      <c r="H275" t="s">
        <v>48</v>
      </c>
      <c r="I275" t="s">
        <v>49</v>
      </c>
      <c r="K275" t="s">
        <v>49</v>
      </c>
      <c r="L275" t="s">
        <v>49</v>
      </c>
      <c r="N275" t="s">
        <v>49</v>
      </c>
      <c r="O275" t="s">
        <v>630</v>
      </c>
      <c r="P275" t="s">
        <v>29</v>
      </c>
      <c r="Q275">
        <v>34141699881</v>
      </c>
      <c r="R275" s="2" t="str">
        <f t="shared" si="29"/>
        <v>java|A2|B1a|B2a|C1a</v>
      </c>
      <c r="S275" t="str">
        <f t="shared" si="30"/>
        <v>E</v>
      </c>
      <c r="T275" t="str">
        <f t="shared" si="25"/>
        <v>same</v>
      </c>
      <c r="U275" t="str">
        <f t="shared" si="26"/>
        <v/>
      </c>
      <c r="V275" t="str">
        <f t="shared" si="27"/>
        <v/>
      </c>
      <c r="W275" t="str">
        <f t="shared" si="28"/>
        <v/>
      </c>
    </row>
    <row r="276" spans="1:23" x14ac:dyDescent="0.3">
      <c r="A276" t="s">
        <v>631</v>
      </c>
      <c r="B276" s="1">
        <v>46272.756326458337</v>
      </c>
      <c r="C276" t="s">
        <v>519</v>
      </c>
      <c r="D276" t="s">
        <v>145</v>
      </c>
      <c r="E276" t="s">
        <v>20</v>
      </c>
      <c r="F276" t="s">
        <v>21</v>
      </c>
      <c r="G276" t="s">
        <v>238</v>
      </c>
      <c r="H276" t="s">
        <v>23</v>
      </c>
      <c r="I276" t="s">
        <v>520</v>
      </c>
      <c r="J276">
        <v>100</v>
      </c>
      <c r="K276" t="s">
        <v>632</v>
      </c>
      <c r="L276" t="s">
        <v>522</v>
      </c>
      <c r="M276">
        <v>100</v>
      </c>
      <c r="N276" t="s">
        <v>633</v>
      </c>
      <c r="O276" t="s">
        <v>634</v>
      </c>
      <c r="P276" t="s">
        <v>29</v>
      </c>
      <c r="Q276">
        <v>34141751890</v>
      </c>
      <c r="R276" s="2" t="str">
        <f t="shared" si="29"/>
        <v>java|A2|B1a|B2a|C1b</v>
      </c>
      <c r="S276" t="str">
        <f t="shared" si="30"/>
        <v>P</v>
      </c>
      <c r="T276" t="str">
        <f t="shared" si="25"/>
        <v/>
      </c>
      <c r="U276" t="str">
        <f t="shared" si="26"/>
        <v/>
      </c>
      <c r="V276" t="str">
        <f t="shared" si="27"/>
        <v/>
      </c>
      <c r="W276" t="str">
        <f t="shared" si="28"/>
        <v/>
      </c>
    </row>
    <row r="277" spans="1:23" x14ac:dyDescent="0.3">
      <c r="A277" t="s">
        <v>635</v>
      </c>
      <c r="B277" s="1">
        <v>46272.75677738426</v>
      </c>
      <c r="C277" t="s">
        <v>519</v>
      </c>
      <c r="D277" t="s">
        <v>145</v>
      </c>
      <c r="E277" t="s">
        <v>20</v>
      </c>
      <c r="F277" t="s">
        <v>21</v>
      </c>
      <c r="G277" t="s">
        <v>31</v>
      </c>
      <c r="H277" t="s">
        <v>48</v>
      </c>
      <c r="I277" t="s">
        <v>49</v>
      </c>
      <c r="K277" t="s">
        <v>49</v>
      </c>
      <c r="L277" t="s">
        <v>49</v>
      </c>
      <c r="N277" t="s">
        <v>49</v>
      </c>
      <c r="O277" t="s">
        <v>636</v>
      </c>
      <c r="P277" t="s">
        <v>29</v>
      </c>
      <c r="Q277">
        <v>34141886111</v>
      </c>
      <c r="R277" s="2" t="str">
        <f t="shared" si="29"/>
        <v>java|A2|B1a|B2a|C1c</v>
      </c>
      <c r="S277" t="str">
        <f t="shared" si="30"/>
        <v>E</v>
      </c>
      <c r="T277" t="str">
        <f t="shared" si="25"/>
        <v/>
      </c>
      <c r="U277" t="str">
        <f t="shared" si="26"/>
        <v/>
      </c>
      <c r="V277" t="str">
        <f t="shared" si="27"/>
        <v/>
      </c>
      <c r="W277" t="str">
        <f t="shared" si="28"/>
        <v/>
      </c>
    </row>
    <row r="278" spans="1:23" x14ac:dyDescent="0.3">
      <c r="A278" t="s">
        <v>637</v>
      </c>
      <c r="B278" s="1">
        <v>46272.75724327546</v>
      </c>
      <c r="C278" t="s">
        <v>519</v>
      </c>
      <c r="D278" t="s">
        <v>145</v>
      </c>
      <c r="E278" t="s">
        <v>20</v>
      </c>
      <c r="F278" t="s">
        <v>34</v>
      </c>
      <c r="G278" t="s">
        <v>22</v>
      </c>
      <c r="H278" t="s">
        <v>48</v>
      </c>
      <c r="I278" t="s">
        <v>49</v>
      </c>
      <c r="K278" t="s">
        <v>49</v>
      </c>
      <c r="L278" t="s">
        <v>49</v>
      </c>
      <c r="N278" t="s">
        <v>49</v>
      </c>
      <c r="O278" t="s">
        <v>638</v>
      </c>
      <c r="P278" t="s">
        <v>29</v>
      </c>
      <c r="Q278">
        <v>34141942796</v>
      </c>
      <c r="R278" s="2" t="str">
        <f t="shared" si="29"/>
        <v>java|A2|B1a|B2b|C1a</v>
      </c>
      <c r="S278" t="str">
        <f t="shared" si="30"/>
        <v>E</v>
      </c>
      <c r="T278" t="str">
        <f t="shared" si="25"/>
        <v>same</v>
      </c>
      <c r="U278" t="str">
        <f t="shared" si="26"/>
        <v/>
      </c>
      <c r="V278" t="str">
        <f t="shared" si="27"/>
        <v/>
      </c>
      <c r="W278" t="str">
        <f t="shared" si="28"/>
        <v/>
      </c>
    </row>
    <row r="279" spans="1:23" x14ac:dyDescent="0.3">
      <c r="A279" t="s">
        <v>639</v>
      </c>
      <c r="B279" s="1">
        <v>46272.758780601849</v>
      </c>
      <c r="C279" t="s">
        <v>519</v>
      </c>
      <c r="D279" t="s">
        <v>145</v>
      </c>
      <c r="E279" t="s">
        <v>20</v>
      </c>
      <c r="F279" t="s">
        <v>34</v>
      </c>
      <c r="G279" t="s">
        <v>238</v>
      </c>
      <c r="H279" t="s">
        <v>23</v>
      </c>
      <c r="I279" t="s">
        <v>520</v>
      </c>
      <c r="J279">
        <v>102</v>
      </c>
      <c r="K279" t="s">
        <v>640</v>
      </c>
      <c r="L279" t="s">
        <v>522</v>
      </c>
      <c r="M279">
        <v>102</v>
      </c>
      <c r="N279" t="s">
        <v>641</v>
      </c>
      <c r="O279" t="s">
        <v>642</v>
      </c>
      <c r="P279" t="s">
        <v>29</v>
      </c>
      <c r="Q279">
        <v>34142002899</v>
      </c>
      <c r="R279" s="2" t="str">
        <f t="shared" si="29"/>
        <v>java|A2|B1a|B2b|C1b</v>
      </c>
      <c r="S279" t="str">
        <f t="shared" si="30"/>
        <v>P</v>
      </c>
      <c r="T279" t="str">
        <f t="shared" si="25"/>
        <v/>
      </c>
      <c r="U279" t="str">
        <f t="shared" si="26"/>
        <v/>
      </c>
      <c r="V279" t="str">
        <f t="shared" si="27"/>
        <v/>
      </c>
      <c r="W279" t="str">
        <f t="shared" si="28"/>
        <v/>
      </c>
    </row>
    <row r="280" spans="1:23" x14ac:dyDescent="0.3">
      <c r="A280" t="s">
        <v>643</v>
      </c>
      <c r="B280" s="1">
        <v>46272.75924122685</v>
      </c>
      <c r="C280" t="s">
        <v>519</v>
      </c>
      <c r="D280" t="s">
        <v>145</v>
      </c>
      <c r="E280" t="s">
        <v>20</v>
      </c>
      <c r="F280" t="s">
        <v>34</v>
      </c>
      <c r="G280" t="s">
        <v>31</v>
      </c>
      <c r="H280" t="s">
        <v>48</v>
      </c>
      <c r="I280" t="s">
        <v>49</v>
      </c>
      <c r="K280" t="s">
        <v>49</v>
      </c>
      <c r="L280" t="s">
        <v>49</v>
      </c>
      <c r="N280" t="s">
        <v>49</v>
      </c>
      <c r="O280" t="s">
        <v>644</v>
      </c>
      <c r="P280" t="s">
        <v>29</v>
      </c>
      <c r="Q280">
        <v>34142190664</v>
      </c>
      <c r="R280" s="2" t="str">
        <f t="shared" si="29"/>
        <v>java|A2|B1a|B2b|C1c</v>
      </c>
      <c r="S280" t="str">
        <f t="shared" si="30"/>
        <v>E</v>
      </c>
      <c r="T280" t="str">
        <f t="shared" si="25"/>
        <v/>
      </c>
      <c r="U280" t="str">
        <f t="shared" si="26"/>
        <v/>
      </c>
      <c r="V280" t="str">
        <f t="shared" si="27"/>
        <v/>
      </c>
      <c r="W280" t="str">
        <f t="shared" si="28"/>
        <v/>
      </c>
    </row>
    <row r="281" spans="1:23" x14ac:dyDescent="0.3">
      <c r="A281" t="s">
        <v>645</v>
      </c>
      <c r="B281" s="1">
        <v>46272.761149155092</v>
      </c>
      <c r="C281" t="s">
        <v>519</v>
      </c>
      <c r="D281" t="s">
        <v>145</v>
      </c>
      <c r="E281" t="s">
        <v>47</v>
      </c>
      <c r="F281" t="s">
        <v>21</v>
      </c>
      <c r="G281" t="s">
        <v>22</v>
      </c>
      <c r="H281" t="s">
        <v>23</v>
      </c>
      <c r="I281" t="s">
        <v>520</v>
      </c>
      <c r="J281">
        <v>100</v>
      </c>
      <c r="K281" t="s">
        <v>632</v>
      </c>
      <c r="L281" t="s">
        <v>522</v>
      </c>
      <c r="M281">
        <v>100</v>
      </c>
      <c r="N281" t="s">
        <v>633</v>
      </c>
      <c r="O281" t="s">
        <v>646</v>
      </c>
      <c r="P281" t="s">
        <v>29</v>
      </c>
      <c r="Q281">
        <v>34142242845</v>
      </c>
      <c r="R281" s="2" t="str">
        <f t="shared" si="29"/>
        <v>java|A2|B1b|B2a|C1a</v>
      </c>
      <c r="S281" t="str">
        <f t="shared" si="30"/>
        <v>P</v>
      </c>
      <c r="T281" t="str">
        <f t="shared" si="25"/>
        <v>same</v>
      </c>
      <c r="U281" t="str">
        <f t="shared" si="26"/>
        <v/>
      </c>
      <c r="V281" t="str">
        <f t="shared" si="27"/>
        <v/>
      </c>
      <c r="W281" t="str">
        <f t="shared" si="28"/>
        <v/>
      </c>
    </row>
    <row r="282" spans="1:23" x14ac:dyDescent="0.3">
      <c r="A282" t="s">
        <v>647</v>
      </c>
      <c r="B282" s="1">
        <v>46272.762339884262</v>
      </c>
      <c r="C282" t="s">
        <v>519</v>
      </c>
      <c r="D282" t="s">
        <v>145</v>
      </c>
      <c r="E282" t="s">
        <v>47</v>
      </c>
      <c r="F282" t="s">
        <v>21</v>
      </c>
      <c r="G282" t="s">
        <v>238</v>
      </c>
      <c r="H282" t="s">
        <v>23</v>
      </c>
      <c r="I282" t="s">
        <v>520</v>
      </c>
      <c r="J282">
        <v>100</v>
      </c>
      <c r="K282" t="s">
        <v>632</v>
      </c>
      <c r="L282" t="s">
        <v>522</v>
      </c>
      <c r="M282">
        <v>100</v>
      </c>
      <c r="N282" t="s">
        <v>633</v>
      </c>
      <c r="O282" t="s">
        <v>648</v>
      </c>
      <c r="P282" t="s">
        <v>29</v>
      </c>
      <c r="Q282">
        <v>34142468113</v>
      </c>
      <c r="R282" s="2" t="str">
        <f t="shared" si="29"/>
        <v>java|A2|B1b|B2a|C1b</v>
      </c>
      <c r="S282" t="str">
        <f t="shared" si="30"/>
        <v>P</v>
      </c>
      <c r="T282" t="str">
        <f t="shared" si="25"/>
        <v/>
      </c>
      <c r="U282" t="str">
        <f t="shared" si="26"/>
        <v/>
      </c>
      <c r="V282" t="str">
        <f t="shared" si="27"/>
        <v/>
      </c>
      <c r="W282" t="str">
        <f t="shared" si="28"/>
        <v/>
      </c>
    </row>
    <row r="283" spans="1:23" x14ac:dyDescent="0.3">
      <c r="A283" t="s">
        <v>649</v>
      </c>
      <c r="B283" s="1">
        <v>46272.763841122687</v>
      </c>
      <c r="C283" t="s">
        <v>519</v>
      </c>
      <c r="D283" t="s">
        <v>145</v>
      </c>
      <c r="E283" t="s">
        <v>47</v>
      </c>
      <c r="F283" t="s">
        <v>21</v>
      </c>
      <c r="G283" t="s">
        <v>31</v>
      </c>
      <c r="H283" t="s">
        <v>23</v>
      </c>
      <c r="I283" t="s">
        <v>520</v>
      </c>
      <c r="J283">
        <v>100</v>
      </c>
      <c r="K283" t="s">
        <v>632</v>
      </c>
      <c r="L283" t="s">
        <v>522</v>
      </c>
      <c r="M283">
        <v>100</v>
      </c>
      <c r="N283" t="s">
        <v>633</v>
      </c>
      <c r="O283" t="s">
        <v>650</v>
      </c>
      <c r="P283" t="s">
        <v>29</v>
      </c>
      <c r="Q283">
        <v>34142603471</v>
      </c>
      <c r="R283" s="2" t="str">
        <f t="shared" si="29"/>
        <v>java|A2|B1b|B2a|C1c</v>
      </c>
      <c r="S283" t="str">
        <f t="shared" si="30"/>
        <v>P</v>
      </c>
      <c r="T283" t="str">
        <f t="shared" si="25"/>
        <v/>
      </c>
      <c r="U283" t="str">
        <f t="shared" si="26"/>
        <v/>
      </c>
      <c r="V283" t="str">
        <f t="shared" si="27"/>
        <v/>
      </c>
      <c r="W283" t="str">
        <f t="shared" si="28"/>
        <v/>
      </c>
    </row>
    <row r="284" spans="1:23" x14ac:dyDescent="0.3">
      <c r="A284" t="s">
        <v>651</v>
      </c>
      <c r="B284" s="1">
        <v>46272.765002465276</v>
      </c>
      <c r="C284" t="s">
        <v>519</v>
      </c>
      <c r="D284" t="s">
        <v>145</v>
      </c>
      <c r="E284" t="s">
        <v>47</v>
      </c>
      <c r="F284" t="s">
        <v>34</v>
      </c>
      <c r="G284" t="s">
        <v>22</v>
      </c>
      <c r="H284" t="s">
        <v>35</v>
      </c>
      <c r="I284" t="s">
        <v>520</v>
      </c>
      <c r="J284">
        <v>103</v>
      </c>
      <c r="K284" t="s">
        <v>544</v>
      </c>
      <c r="L284" t="s">
        <v>522</v>
      </c>
      <c r="M284">
        <v>103</v>
      </c>
      <c r="N284" t="s">
        <v>545</v>
      </c>
      <c r="O284" t="s">
        <v>652</v>
      </c>
      <c r="P284" t="s">
        <v>29</v>
      </c>
      <c r="Q284">
        <v>34142771452</v>
      </c>
      <c r="R284" s="2" t="str">
        <f t="shared" si="29"/>
        <v>java|A2|B1b|B2b|C1a</v>
      </c>
      <c r="S284" t="str">
        <f t="shared" si="30"/>
        <v>M</v>
      </c>
      <c r="T284" t="str">
        <f t="shared" si="25"/>
        <v>same</v>
      </c>
      <c r="U284" t="str">
        <f t="shared" si="26"/>
        <v/>
      </c>
      <c r="V284" t="str">
        <f t="shared" si="27"/>
        <v/>
      </c>
      <c r="W284" t="str">
        <f t="shared" si="28"/>
        <v/>
      </c>
    </row>
    <row r="285" spans="1:23" x14ac:dyDescent="0.3">
      <c r="A285" t="s">
        <v>653</v>
      </c>
      <c r="B285" s="1">
        <v>46272.766164270834</v>
      </c>
      <c r="C285" t="s">
        <v>519</v>
      </c>
      <c r="D285" t="s">
        <v>145</v>
      </c>
      <c r="E285" t="s">
        <v>47</v>
      </c>
      <c r="F285" t="s">
        <v>34</v>
      </c>
      <c r="G285" t="s">
        <v>238</v>
      </c>
      <c r="H285" t="s">
        <v>35</v>
      </c>
      <c r="I285" t="s">
        <v>520</v>
      </c>
      <c r="J285">
        <v>103</v>
      </c>
      <c r="K285" t="s">
        <v>544</v>
      </c>
      <c r="L285" t="s">
        <v>522</v>
      </c>
      <c r="M285">
        <v>103</v>
      </c>
      <c r="N285" t="s">
        <v>545</v>
      </c>
      <c r="O285" t="s">
        <v>654</v>
      </c>
      <c r="P285" t="s">
        <v>29</v>
      </c>
      <c r="Q285">
        <v>34142903313</v>
      </c>
      <c r="R285" s="2" t="str">
        <f t="shared" si="29"/>
        <v>java|A2|B1b|B2b|C1b</v>
      </c>
      <c r="S285" t="str">
        <f t="shared" si="30"/>
        <v>M</v>
      </c>
      <c r="T285" t="str">
        <f t="shared" si="25"/>
        <v/>
      </c>
      <c r="U285" t="str">
        <f t="shared" si="26"/>
        <v/>
      </c>
      <c r="V285" t="str">
        <f t="shared" si="27"/>
        <v/>
      </c>
      <c r="W285" t="str">
        <f t="shared" si="28"/>
        <v/>
      </c>
    </row>
    <row r="286" spans="1:23" x14ac:dyDescent="0.3">
      <c r="A286" t="s">
        <v>655</v>
      </c>
      <c r="B286" s="1">
        <v>46272.767372546296</v>
      </c>
      <c r="C286" t="s">
        <v>519</v>
      </c>
      <c r="D286" t="s">
        <v>145</v>
      </c>
      <c r="E286" t="s">
        <v>47</v>
      </c>
      <c r="F286" t="s">
        <v>34</v>
      </c>
      <c r="G286" t="s">
        <v>31</v>
      </c>
      <c r="H286" t="s">
        <v>35</v>
      </c>
      <c r="I286" t="s">
        <v>520</v>
      </c>
      <c r="J286">
        <v>103</v>
      </c>
      <c r="K286" t="s">
        <v>544</v>
      </c>
      <c r="L286" t="s">
        <v>522</v>
      </c>
      <c r="M286">
        <v>103</v>
      </c>
      <c r="N286" t="s">
        <v>545</v>
      </c>
      <c r="O286" t="s">
        <v>656</v>
      </c>
      <c r="P286" t="s">
        <v>29</v>
      </c>
      <c r="Q286">
        <v>34143036895</v>
      </c>
      <c r="R286" s="2" t="str">
        <f t="shared" si="29"/>
        <v>java|A2|B1b|B2b|C1c</v>
      </c>
      <c r="S286" t="str">
        <f t="shared" si="30"/>
        <v>M</v>
      </c>
      <c r="T286" t="str">
        <f t="shared" si="25"/>
        <v/>
      </c>
      <c r="U286" t="str">
        <f t="shared" si="26"/>
        <v/>
      </c>
      <c r="V286" t="str">
        <f t="shared" si="27"/>
        <v/>
      </c>
      <c r="W286" t="str">
        <f t="shared" si="28"/>
        <v/>
      </c>
    </row>
    <row r="287" spans="1:23" x14ac:dyDescent="0.3">
      <c r="A287" t="s">
        <v>657</v>
      </c>
      <c r="B287" s="1">
        <v>46272.768391898149</v>
      </c>
      <c r="C287" t="s">
        <v>519</v>
      </c>
      <c r="D287" t="s">
        <v>145</v>
      </c>
      <c r="E287" t="s">
        <v>64</v>
      </c>
      <c r="F287" t="s">
        <v>21</v>
      </c>
      <c r="G287" t="s">
        <v>22</v>
      </c>
      <c r="H287" t="s">
        <v>23</v>
      </c>
      <c r="I287" t="s">
        <v>520</v>
      </c>
      <c r="J287">
        <v>100</v>
      </c>
      <c r="K287" t="s">
        <v>632</v>
      </c>
      <c r="L287" t="s">
        <v>522</v>
      </c>
      <c r="M287">
        <v>100</v>
      </c>
      <c r="N287" t="s">
        <v>633</v>
      </c>
      <c r="O287" t="s">
        <v>658</v>
      </c>
      <c r="P287" t="s">
        <v>29</v>
      </c>
      <c r="Q287">
        <v>34143178109</v>
      </c>
      <c r="R287" s="2" t="str">
        <f t="shared" si="29"/>
        <v>java|A2|B1c|B2a|C1a</v>
      </c>
      <c r="S287" t="str">
        <f t="shared" si="30"/>
        <v>P</v>
      </c>
      <c r="T287" t="str">
        <f t="shared" si="25"/>
        <v>same</v>
      </c>
      <c r="U287" t="str">
        <f t="shared" si="26"/>
        <v/>
      </c>
      <c r="V287" t="str">
        <f t="shared" si="27"/>
        <v/>
      </c>
      <c r="W287" t="str">
        <f t="shared" si="28"/>
        <v/>
      </c>
    </row>
    <row r="288" spans="1:23" x14ac:dyDescent="0.3">
      <c r="A288" t="s">
        <v>659</v>
      </c>
      <c r="B288" s="1">
        <v>46272.769461064818</v>
      </c>
      <c r="C288" t="s">
        <v>519</v>
      </c>
      <c r="D288" t="s">
        <v>145</v>
      </c>
      <c r="E288" t="s">
        <v>64</v>
      </c>
      <c r="F288" t="s">
        <v>21</v>
      </c>
      <c r="G288" t="s">
        <v>238</v>
      </c>
      <c r="H288" t="s">
        <v>23</v>
      </c>
      <c r="I288" t="s">
        <v>520</v>
      </c>
      <c r="J288">
        <v>100</v>
      </c>
      <c r="K288" t="s">
        <v>632</v>
      </c>
      <c r="L288" t="s">
        <v>522</v>
      </c>
      <c r="M288">
        <v>100</v>
      </c>
      <c r="N288" t="s">
        <v>633</v>
      </c>
      <c r="O288" t="s">
        <v>660</v>
      </c>
      <c r="P288" t="s">
        <v>29</v>
      </c>
      <c r="Q288">
        <v>34143292418</v>
      </c>
      <c r="R288" s="2" t="str">
        <f t="shared" si="29"/>
        <v>java|A2|B1c|B2a|C1b</v>
      </c>
      <c r="S288" t="str">
        <f t="shared" si="30"/>
        <v>P</v>
      </c>
      <c r="T288" t="str">
        <f t="shared" si="25"/>
        <v/>
      </c>
      <c r="U288" t="str">
        <f t="shared" si="26"/>
        <v/>
      </c>
      <c r="V288" t="str">
        <f t="shared" si="27"/>
        <v/>
      </c>
      <c r="W288" t="str">
        <f t="shared" si="28"/>
        <v/>
      </c>
    </row>
    <row r="289" spans="1:23" x14ac:dyDescent="0.3">
      <c r="A289" t="s">
        <v>661</v>
      </c>
      <c r="B289" s="1">
        <v>46272.770708009259</v>
      </c>
      <c r="C289" t="s">
        <v>519</v>
      </c>
      <c r="D289" t="s">
        <v>145</v>
      </c>
      <c r="E289" t="s">
        <v>64</v>
      </c>
      <c r="F289" t="s">
        <v>21</v>
      </c>
      <c r="G289" t="s">
        <v>31</v>
      </c>
      <c r="H289" t="s">
        <v>23</v>
      </c>
      <c r="I289" t="s">
        <v>520</v>
      </c>
      <c r="J289">
        <v>100</v>
      </c>
      <c r="K289" t="s">
        <v>632</v>
      </c>
      <c r="L289" t="s">
        <v>522</v>
      </c>
      <c r="M289">
        <v>100</v>
      </c>
      <c r="N289" t="s">
        <v>633</v>
      </c>
      <c r="O289" t="s">
        <v>662</v>
      </c>
      <c r="P289" t="s">
        <v>29</v>
      </c>
      <c r="Q289">
        <v>34143409425</v>
      </c>
      <c r="R289" s="2" t="str">
        <f t="shared" si="29"/>
        <v>java|A2|B1c|B2a|C1c</v>
      </c>
      <c r="S289" t="str">
        <f t="shared" si="30"/>
        <v>P</v>
      </c>
      <c r="T289" t="str">
        <f t="shared" si="25"/>
        <v/>
      </c>
      <c r="U289" t="str">
        <f t="shared" si="26"/>
        <v/>
      </c>
      <c r="V289" t="str">
        <f t="shared" si="27"/>
        <v/>
      </c>
      <c r="W289" t="str">
        <f t="shared" si="28"/>
        <v/>
      </c>
    </row>
    <row r="290" spans="1:23" x14ac:dyDescent="0.3">
      <c r="A290" t="s">
        <v>663</v>
      </c>
      <c r="B290" s="1">
        <v>46272.771681759259</v>
      </c>
      <c r="C290" t="s">
        <v>519</v>
      </c>
      <c r="D290" t="s">
        <v>145</v>
      </c>
      <c r="E290" t="s">
        <v>64</v>
      </c>
      <c r="F290" t="s">
        <v>34</v>
      </c>
      <c r="G290" t="s">
        <v>22</v>
      </c>
      <c r="H290" t="s">
        <v>35</v>
      </c>
      <c r="I290" t="s">
        <v>520</v>
      </c>
      <c r="J290">
        <v>103</v>
      </c>
      <c r="K290" t="s">
        <v>558</v>
      </c>
      <c r="L290" t="s">
        <v>522</v>
      </c>
      <c r="M290">
        <v>103</v>
      </c>
      <c r="N290" t="s">
        <v>559</v>
      </c>
      <c r="O290" t="s">
        <v>664</v>
      </c>
      <c r="P290" t="s">
        <v>29</v>
      </c>
      <c r="Q290">
        <v>34143548885</v>
      </c>
      <c r="R290" s="2" t="str">
        <f t="shared" si="29"/>
        <v>java|A2|B1c|B2b|C1a</v>
      </c>
      <c r="S290" t="str">
        <f t="shared" si="30"/>
        <v>M</v>
      </c>
      <c r="T290" t="str">
        <f t="shared" si="25"/>
        <v>same</v>
      </c>
      <c r="U290" t="str">
        <f t="shared" si="26"/>
        <v/>
      </c>
      <c r="V290" t="str">
        <f t="shared" si="27"/>
        <v/>
      </c>
      <c r="W290" t="str">
        <f t="shared" si="28"/>
        <v/>
      </c>
    </row>
    <row r="291" spans="1:23" x14ac:dyDescent="0.3">
      <c r="A291" t="s">
        <v>665</v>
      </c>
      <c r="B291" s="1">
        <v>46272.772824131942</v>
      </c>
      <c r="C291" t="s">
        <v>519</v>
      </c>
      <c r="D291" t="s">
        <v>145</v>
      </c>
      <c r="E291" t="s">
        <v>64</v>
      </c>
      <c r="F291" t="s">
        <v>34</v>
      </c>
      <c r="G291" t="s">
        <v>238</v>
      </c>
      <c r="H291" t="s">
        <v>35</v>
      </c>
      <c r="I291" t="s">
        <v>520</v>
      </c>
      <c r="J291">
        <v>103</v>
      </c>
      <c r="K291" t="s">
        <v>558</v>
      </c>
      <c r="L291" t="s">
        <v>522</v>
      </c>
      <c r="M291">
        <v>103</v>
      </c>
      <c r="N291" t="s">
        <v>559</v>
      </c>
      <c r="O291" t="s">
        <v>666</v>
      </c>
      <c r="P291" t="s">
        <v>29</v>
      </c>
      <c r="Q291">
        <v>34143663393</v>
      </c>
      <c r="R291" s="2" t="str">
        <f t="shared" si="29"/>
        <v>java|A2|B1c|B2b|C1b</v>
      </c>
      <c r="S291" t="str">
        <f t="shared" si="30"/>
        <v>M</v>
      </c>
      <c r="T291" t="str">
        <f t="shared" si="25"/>
        <v/>
      </c>
      <c r="U291" t="str">
        <f t="shared" si="26"/>
        <v/>
      </c>
      <c r="V291" t="str">
        <f t="shared" si="27"/>
        <v/>
      </c>
      <c r="W291" t="str">
        <f t="shared" si="28"/>
        <v/>
      </c>
    </row>
    <row r="292" spans="1:23" x14ac:dyDescent="0.3">
      <c r="A292" t="s">
        <v>667</v>
      </c>
      <c r="B292" s="1">
        <v>46272.773987731482</v>
      </c>
      <c r="C292" t="s">
        <v>519</v>
      </c>
      <c r="D292" t="s">
        <v>145</v>
      </c>
      <c r="E292" t="s">
        <v>64</v>
      </c>
      <c r="F292" t="s">
        <v>34</v>
      </c>
      <c r="G292" t="s">
        <v>31</v>
      </c>
      <c r="H292" t="s">
        <v>35</v>
      </c>
      <c r="I292" t="s">
        <v>520</v>
      </c>
      <c r="J292">
        <v>103</v>
      </c>
      <c r="K292" t="s">
        <v>558</v>
      </c>
      <c r="L292" t="s">
        <v>522</v>
      </c>
      <c r="M292">
        <v>103</v>
      </c>
      <c r="N292" t="s">
        <v>559</v>
      </c>
      <c r="O292" t="s">
        <v>668</v>
      </c>
      <c r="P292" t="s">
        <v>29</v>
      </c>
      <c r="Q292">
        <v>34143787807</v>
      </c>
      <c r="R292" s="2" t="str">
        <f t="shared" si="29"/>
        <v>java|A2|B1c|B2b|C1c</v>
      </c>
      <c r="S292" t="str">
        <f t="shared" si="30"/>
        <v>M</v>
      </c>
      <c r="T292" t="str">
        <f t="shared" si="25"/>
        <v/>
      </c>
      <c r="U292" t="str">
        <f t="shared" si="26"/>
        <v/>
      </c>
      <c r="V292" t="str">
        <f t="shared" si="27"/>
        <v/>
      </c>
      <c r="W292" t="str">
        <f t="shared" si="28"/>
        <v/>
      </c>
    </row>
    <row r="293" spans="1:23" x14ac:dyDescent="0.3">
      <c r="A293" t="s">
        <v>669</v>
      </c>
      <c r="B293" s="1">
        <v>46272.774489490737</v>
      </c>
      <c r="C293" t="s">
        <v>519</v>
      </c>
      <c r="D293" t="s">
        <v>145</v>
      </c>
      <c r="E293" t="s">
        <v>79</v>
      </c>
      <c r="F293" t="s">
        <v>21</v>
      </c>
      <c r="G293" t="s">
        <v>22</v>
      </c>
      <c r="H293" t="s">
        <v>48</v>
      </c>
      <c r="I293" t="s">
        <v>49</v>
      </c>
      <c r="K293" t="s">
        <v>49</v>
      </c>
      <c r="L293" t="s">
        <v>49</v>
      </c>
      <c r="N293" t="s">
        <v>49</v>
      </c>
      <c r="O293" t="s">
        <v>670</v>
      </c>
      <c r="P293" t="s">
        <v>29</v>
      </c>
      <c r="Q293">
        <v>34143915183</v>
      </c>
      <c r="R293" s="2" t="str">
        <f t="shared" si="29"/>
        <v>java|A2|B1d|B2a|C1a</v>
      </c>
      <c r="S293" t="str">
        <f t="shared" si="30"/>
        <v>E</v>
      </c>
      <c r="T293" t="str">
        <f t="shared" si="25"/>
        <v>same</v>
      </c>
      <c r="U293" t="str">
        <f t="shared" si="26"/>
        <v/>
      </c>
      <c r="V293" t="str">
        <f t="shared" si="27"/>
        <v/>
      </c>
      <c r="W293" t="str">
        <f t="shared" si="28"/>
        <v/>
      </c>
    </row>
    <row r="294" spans="1:23" x14ac:dyDescent="0.3">
      <c r="A294" t="s">
        <v>671</v>
      </c>
      <c r="B294" s="1">
        <v>46272.775656423612</v>
      </c>
      <c r="C294" t="s">
        <v>519</v>
      </c>
      <c r="D294" t="s">
        <v>145</v>
      </c>
      <c r="E294" t="s">
        <v>79</v>
      </c>
      <c r="F294" t="s">
        <v>21</v>
      </c>
      <c r="G294" t="s">
        <v>238</v>
      </c>
      <c r="H294" t="s">
        <v>48</v>
      </c>
      <c r="I294" t="s">
        <v>520</v>
      </c>
      <c r="J294">
        <v>100</v>
      </c>
      <c r="K294" t="s">
        <v>49</v>
      </c>
      <c r="L294" t="s">
        <v>522</v>
      </c>
      <c r="M294">
        <v>100</v>
      </c>
      <c r="N294" t="s">
        <v>49</v>
      </c>
      <c r="O294" t="s">
        <v>672</v>
      </c>
      <c r="P294" t="s">
        <v>29</v>
      </c>
      <c r="Q294">
        <v>34143975606</v>
      </c>
      <c r="R294" s="2" t="str">
        <f t="shared" si="29"/>
        <v>java|A2|B1d|B2a|C1b</v>
      </c>
      <c r="S294" t="str">
        <f t="shared" si="30"/>
        <v>E</v>
      </c>
      <c r="T294" t="str">
        <f t="shared" si="25"/>
        <v/>
      </c>
      <c r="U294" t="str">
        <f t="shared" si="26"/>
        <v/>
      </c>
      <c r="V294" t="str">
        <f t="shared" si="27"/>
        <v/>
      </c>
      <c r="W294" t="str">
        <f t="shared" si="28"/>
        <v/>
      </c>
    </row>
    <row r="295" spans="1:23" x14ac:dyDescent="0.3">
      <c r="A295" t="s">
        <v>673</v>
      </c>
      <c r="B295" s="1">
        <v>46272.776192106481</v>
      </c>
      <c r="C295" t="s">
        <v>519</v>
      </c>
      <c r="D295" t="s">
        <v>145</v>
      </c>
      <c r="E295" t="s">
        <v>79</v>
      </c>
      <c r="F295" t="s">
        <v>21</v>
      </c>
      <c r="G295" t="s">
        <v>31</v>
      </c>
      <c r="H295" t="s">
        <v>48</v>
      </c>
      <c r="I295" t="s">
        <v>49</v>
      </c>
      <c r="K295" t="s">
        <v>49</v>
      </c>
      <c r="L295" t="s">
        <v>49</v>
      </c>
      <c r="N295" t="s">
        <v>49</v>
      </c>
      <c r="O295" t="s">
        <v>674</v>
      </c>
      <c r="P295" t="s">
        <v>29</v>
      </c>
      <c r="Q295">
        <v>34144103221</v>
      </c>
      <c r="R295" s="2" t="str">
        <f t="shared" si="29"/>
        <v>java|A2|B1d|B2a|C1c</v>
      </c>
      <c r="S295" t="str">
        <f t="shared" si="30"/>
        <v>E</v>
      </c>
      <c r="T295" t="str">
        <f t="shared" si="25"/>
        <v/>
      </c>
      <c r="U295" t="str">
        <f t="shared" si="26"/>
        <v/>
      </c>
      <c r="V295" t="str">
        <f t="shared" si="27"/>
        <v/>
      </c>
      <c r="W295" t="str">
        <f t="shared" si="28"/>
        <v/>
      </c>
    </row>
    <row r="296" spans="1:23" x14ac:dyDescent="0.3">
      <c r="A296" t="s">
        <v>675</v>
      </c>
      <c r="B296" s="1">
        <v>46272.777269641207</v>
      </c>
      <c r="C296" t="s">
        <v>519</v>
      </c>
      <c r="D296" t="s">
        <v>145</v>
      </c>
      <c r="E296" t="s">
        <v>79</v>
      </c>
      <c r="F296" t="s">
        <v>34</v>
      </c>
      <c r="G296" t="s">
        <v>22</v>
      </c>
      <c r="H296" t="s">
        <v>35</v>
      </c>
      <c r="I296" t="s">
        <v>520</v>
      </c>
      <c r="J296">
        <v>103</v>
      </c>
      <c r="K296" t="s">
        <v>544</v>
      </c>
      <c r="L296" t="s">
        <v>522</v>
      </c>
      <c r="M296">
        <v>103</v>
      </c>
      <c r="N296" t="s">
        <v>545</v>
      </c>
      <c r="O296" t="s">
        <v>676</v>
      </c>
      <c r="P296" t="s">
        <v>29</v>
      </c>
      <c r="Q296">
        <v>34144159753</v>
      </c>
      <c r="R296" s="2" t="str">
        <f t="shared" si="29"/>
        <v>java|A2|B1d|B2b|C1a</v>
      </c>
      <c r="S296" t="str">
        <f t="shared" si="30"/>
        <v>M</v>
      </c>
      <c r="T296" t="str">
        <f t="shared" si="25"/>
        <v>same</v>
      </c>
      <c r="U296" t="str">
        <f t="shared" si="26"/>
        <v/>
      </c>
      <c r="V296" t="str">
        <f t="shared" si="27"/>
        <v/>
      </c>
      <c r="W296" t="str">
        <f t="shared" si="28"/>
        <v/>
      </c>
    </row>
    <row r="297" spans="1:23" x14ac:dyDescent="0.3">
      <c r="A297" t="s">
        <v>677</v>
      </c>
      <c r="B297" s="1">
        <v>46272.77829800926</v>
      </c>
      <c r="C297" t="s">
        <v>519</v>
      </c>
      <c r="D297" t="s">
        <v>145</v>
      </c>
      <c r="E297" t="s">
        <v>79</v>
      </c>
      <c r="F297" t="s">
        <v>34</v>
      </c>
      <c r="G297" t="s">
        <v>238</v>
      </c>
      <c r="H297" t="s">
        <v>35</v>
      </c>
      <c r="I297" t="s">
        <v>520</v>
      </c>
      <c r="J297">
        <v>103</v>
      </c>
      <c r="K297" t="s">
        <v>544</v>
      </c>
      <c r="L297" t="s">
        <v>522</v>
      </c>
      <c r="M297">
        <v>103</v>
      </c>
      <c r="N297" t="s">
        <v>545</v>
      </c>
      <c r="O297" t="s">
        <v>678</v>
      </c>
      <c r="P297" t="s">
        <v>29</v>
      </c>
      <c r="Q297">
        <v>34144277791</v>
      </c>
      <c r="R297" s="2" t="str">
        <f t="shared" si="29"/>
        <v>java|A2|B1d|B2b|C1b</v>
      </c>
      <c r="S297" t="str">
        <f t="shared" si="30"/>
        <v>M</v>
      </c>
      <c r="T297" t="str">
        <f t="shared" si="25"/>
        <v/>
      </c>
      <c r="U297" t="str">
        <f t="shared" si="26"/>
        <v/>
      </c>
      <c r="V297" t="str">
        <f t="shared" si="27"/>
        <v/>
      </c>
      <c r="W297" t="str">
        <f t="shared" si="28"/>
        <v/>
      </c>
    </row>
    <row r="298" spans="1:23" x14ac:dyDescent="0.3">
      <c r="A298" t="s">
        <v>679</v>
      </c>
      <c r="B298" s="1">
        <v>46272.779368761578</v>
      </c>
      <c r="C298" t="s">
        <v>519</v>
      </c>
      <c r="D298" t="s">
        <v>145</v>
      </c>
      <c r="E298" t="s">
        <v>79</v>
      </c>
      <c r="F298" t="s">
        <v>34</v>
      </c>
      <c r="G298" t="s">
        <v>31</v>
      </c>
      <c r="H298" t="s">
        <v>35</v>
      </c>
      <c r="I298" t="s">
        <v>520</v>
      </c>
      <c r="J298">
        <v>103</v>
      </c>
      <c r="K298" t="s">
        <v>544</v>
      </c>
      <c r="L298" t="s">
        <v>522</v>
      </c>
      <c r="M298">
        <v>103</v>
      </c>
      <c r="N298" t="s">
        <v>545</v>
      </c>
      <c r="O298" t="s">
        <v>680</v>
      </c>
      <c r="P298" t="s">
        <v>29</v>
      </c>
      <c r="Q298">
        <v>34144386256</v>
      </c>
      <c r="R298" s="2" t="str">
        <f t="shared" si="29"/>
        <v>java|A2|B1d|B2b|C1c</v>
      </c>
      <c r="S298" t="str">
        <f t="shared" si="30"/>
        <v>M</v>
      </c>
      <c r="T298" t="str">
        <f t="shared" si="25"/>
        <v/>
      </c>
      <c r="U298" t="str">
        <f t="shared" si="26"/>
        <v/>
      </c>
      <c r="V298" t="str">
        <f t="shared" si="27"/>
        <v/>
      </c>
      <c r="W298" t="str">
        <f t="shared" si="28"/>
        <v/>
      </c>
    </row>
    <row r="299" spans="1:23" x14ac:dyDescent="0.3">
      <c r="A299" t="s">
        <v>681</v>
      </c>
      <c r="B299" s="1">
        <v>46272.780474618055</v>
      </c>
      <c r="C299" t="s">
        <v>519</v>
      </c>
      <c r="D299" t="s">
        <v>194</v>
      </c>
      <c r="E299" t="s">
        <v>20</v>
      </c>
      <c r="F299" t="s">
        <v>21</v>
      </c>
      <c r="G299" t="s">
        <v>22</v>
      </c>
      <c r="H299" t="s">
        <v>23</v>
      </c>
      <c r="I299" t="s">
        <v>520</v>
      </c>
      <c r="J299">
        <v>100</v>
      </c>
      <c r="K299" t="s">
        <v>632</v>
      </c>
      <c r="L299" t="s">
        <v>522</v>
      </c>
      <c r="M299">
        <v>100</v>
      </c>
      <c r="N299" t="s">
        <v>633</v>
      </c>
      <c r="O299" t="s">
        <v>682</v>
      </c>
      <c r="P299" t="s">
        <v>29</v>
      </c>
      <c r="Q299">
        <v>34144499278</v>
      </c>
      <c r="R299" s="2" t="str">
        <f t="shared" si="29"/>
        <v>java|A3|B1a|B2a|C1a</v>
      </c>
      <c r="S299" t="str">
        <f t="shared" si="30"/>
        <v>P</v>
      </c>
      <c r="T299" t="str">
        <f t="shared" si="25"/>
        <v>same</v>
      </c>
      <c r="U299" t="str">
        <f t="shared" si="26"/>
        <v/>
      </c>
      <c r="V299" t="str">
        <f t="shared" si="27"/>
        <v/>
      </c>
      <c r="W299" t="str">
        <f t="shared" si="28"/>
        <v/>
      </c>
    </row>
    <row r="300" spans="1:23" x14ac:dyDescent="0.3">
      <c r="A300" t="s">
        <v>683</v>
      </c>
      <c r="B300" s="1">
        <v>46272.78147292824</v>
      </c>
      <c r="C300" t="s">
        <v>519</v>
      </c>
      <c r="D300" t="s">
        <v>194</v>
      </c>
      <c r="E300" t="s">
        <v>20</v>
      </c>
      <c r="F300" t="s">
        <v>21</v>
      </c>
      <c r="G300" t="s">
        <v>238</v>
      </c>
      <c r="H300" t="s">
        <v>23</v>
      </c>
      <c r="I300" t="s">
        <v>520</v>
      </c>
      <c r="J300">
        <v>100</v>
      </c>
      <c r="K300" t="s">
        <v>632</v>
      </c>
      <c r="L300" t="s">
        <v>522</v>
      </c>
      <c r="M300">
        <v>100</v>
      </c>
      <c r="N300" t="s">
        <v>633</v>
      </c>
      <c r="O300" t="s">
        <v>684</v>
      </c>
      <c r="P300" t="s">
        <v>29</v>
      </c>
      <c r="Q300">
        <v>34144614446</v>
      </c>
      <c r="R300" s="2" t="str">
        <f t="shared" si="29"/>
        <v>java|A3|B1a|B2a|C1b</v>
      </c>
      <c r="S300" t="str">
        <f t="shared" si="30"/>
        <v>P</v>
      </c>
      <c r="T300" t="str">
        <f t="shared" si="25"/>
        <v/>
      </c>
      <c r="U300" t="str">
        <f t="shared" si="26"/>
        <v/>
      </c>
      <c r="V300" t="str">
        <f t="shared" si="27"/>
        <v/>
      </c>
      <c r="W300" t="str">
        <f t="shared" si="28"/>
        <v/>
      </c>
    </row>
    <row r="301" spans="1:23" x14ac:dyDescent="0.3">
      <c r="A301" t="s">
        <v>685</v>
      </c>
      <c r="B301" s="1">
        <v>46272.782521678244</v>
      </c>
      <c r="C301" t="s">
        <v>519</v>
      </c>
      <c r="D301" t="s">
        <v>194</v>
      </c>
      <c r="E301" t="s">
        <v>20</v>
      </c>
      <c r="F301" t="s">
        <v>21</v>
      </c>
      <c r="G301" t="s">
        <v>31</v>
      </c>
      <c r="H301" t="s">
        <v>23</v>
      </c>
      <c r="I301" t="s">
        <v>520</v>
      </c>
      <c r="J301">
        <v>100</v>
      </c>
      <c r="K301" t="s">
        <v>632</v>
      </c>
      <c r="L301" t="s">
        <v>522</v>
      </c>
      <c r="M301">
        <v>100</v>
      </c>
      <c r="N301" t="s">
        <v>633</v>
      </c>
      <c r="O301" t="s">
        <v>686</v>
      </c>
      <c r="P301" t="s">
        <v>29</v>
      </c>
      <c r="Q301">
        <v>34144718810</v>
      </c>
      <c r="R301" s="2" t="str">
        <f t="shared" si="29"/>
        <v>java|A3|B1a|B2a|C1c</v>
      </c>
      <c r="S301" t="str">
        <f t="shared" si="30"/>
        <v>P</v>
      </c>
      <c r="T301" t="str">
        <f t="shared" si="25"/>
        <v/>
      </c>
      <c r="U301" t="str">
        <f t="shared" si="26"/>
        <v/>
      </c>
      <c r="V301" t="str">
        <f t="shared" si="27"/>
        <v/>
      </c>
      <c r="W301" t="str">
        <f t="shared" si="28"/>
        <v/>
      </c>
    </row>
    <row r="302" spans="1:23" x14ac:dyDescent="0.3">
      <c r="A302" t="s">
        <v>687</v>
      </c>
      <c r="B302" s="1">
        <v>46272.783413923615</v>
      </c>
      <c r="C302" t="s">
        <v>519</v>
      </c>
      <c r="D302" t="s">
        <v>194</v>
      </c>
      <c r="E302" t="s">
        <v>20</v>
      </c>
      <c r="F302" t="s">
        <v>34</v>
      </c>
      <c r="G302" t="s">
        <v>22</v>
      </c>
      <c r="H302" t="s">
        <v>35</v>
      </c>
      <c r="I302" t="s">
        <v>520</v>
      </c>
      <c r="J302">
        <v>103</v>
      </c>
      <c r="K302" t="s">
        <v>544</v>
      </c>
      <c r="L302" t="s">
        <v>522</v>
      </c>
      <c r="M302">
        <v>103</v>
      </c>
      <c r="N302" t="s">
        <v>545</v>
      </c>
      <c r="O302" t="s">
        <v>688</v>
      </c>
      <c r="P302" t="s">
        <v>29</v>
      </c>
      <c r="Q302">
        <v>34144831462</v>
      </c>
      <c r="R302" s="2" t="str">
        <f t="shared" si="29"/>
        <v>java|A3|B1a|B2b|C1a</v>
      </c>
      <c r="S302" t="str">
        <f t="shared" si="30"/>
        <v>M</v>
      </c>
      <c r="T302" t="str">
        <f t="shared" si="25"/>
        <v>same</v>
      </c>
      <c r="U302" t="str">
        <f t="shared" si="26"/>
        <v/>
      </c>
      <c r="V302" t="str">
        <f t="shared" si="27"/>
        <v/>
      </c>
      <c r="W302" t="str">
        <f t="shared" si="28"/>
        <v/>
      </c>
    </row>
    <row r="303" spans="1:23" x14ac:dyDescent="0.3">
      <c r="A303" t="s">
        <v>689</v>
      </c>
      <c r="B303" s="1">
        <v>46272.784421655095</v>
      </c>
      <c r="C303" t="s">
        <v>519</v>
      </c>
      <c r="D303" t="s">
        <v>194</v>
      </c>
      <c r="E303" t="s">
        <v>20</v>
      </c>
      <c r="F303" t="s">
        <v>34</v>
      </c>
      <c r="G303" t="s">
        <v>238</v>
      </c>
      <c r="H303" t="s">
        <v>35</v>
      </c>
      <c r="I303" t="s">
        <v>520</v>
      </c>
      <c r="J303">
        <v>103</v>
      </c>
      <c r="K303" t="s">
        <v>544</v>
      </c>
      <c r="L303" t="s">
        <v>522</v>
      </c>
      <c r="M303">
        <v>103</v>
      </c>
      <c r="N303" t="s">
        <v>545</v>
      </c>
      <c r="O303" t="s">
        <v>690</v>
      </c>
      <c r="P303" t="s">
        <v>29</v>
      </c>
      <c r="Q303">
        <v>34144922871</v>
      </c>
      <c r="R303" s="2" t="str">
        <f t="shared" si="29"/>
        <v>java|A3|B1a|B2b|C1b</v>
      </c>
      <c r="S303" t="str">
        <f t="shared" si="30"/>
        <v>M</v>
      </c>
      <c r="T303" t="str">
        <f t="shared" si="25"/>
        <v/>
      </c>
      <c r="U303" t="str">
        <f t="shared" si="26"/>
        <v/>
      </c>
      <c r="V303" t="str">
        <f t="shared" si="27"/>
        <v/>
      </c>
      <c r="W303" t="str">
        <f t="shared" si="28"/>
        <v/>
      </c>
    </row>
    <row r="304" spans="1:23" x14ac:dyDescent="0.3">
      <c r="A304" t="s">
        <v>691</v>
      </c>
      <c r="B304" s="1">
        <v>46272.785434745369</v>
      </c>
      <c r="C304" t="s">
        <v>519</v>
      </c>
      <c r="D304" t="s">
        <v>194</v>
      </c>
      <c r="E304" t="s">
        <v>20</v>
      </c>
      <c r="F304" t="s">
        <v>34</v>
      </c>
      <c r="G304" t="s">
        <v>31</v>
      </c>
      <c r="H304" t="s">
        <v>35</v>
      </c>
      <c r="I304" t="s">
        <v>520</v>
      </c>
      <c r="J304">
        <v>103</v>
      </c>
      <c r="K304" t="s">
        <v>544</v>
      </c>
      <c r="L304" t="s">
        <v>522</v>
      </c>
      <c r="M304">
        <v>103</v>
      </c>
      <c r="N304" t="s">
        <v>545</v>
      </c>
      <c r="O304" t="s">
        <v>692</v>
      </c>
      <c r="P304" t="s">
        <v>29</v>
      </c>
      <c r="Q304">
        <v>34145024709</v>
      </c>
      <c r="R304" s="2" t="str">
        <f t="shared" si="29"/>
        <v>java|A3|B1a|B2b|C1c</v>
      </c>
      <c r="S304" t="str">
        <f t="shared" si="30"/>
        <v>M</v>
      </c>
      <c r="T304" t="str">
        <f t="shared" si="25"/>
        <v/>
      </c>
      <c r="U304" t="str">
        <f t="shared" si="26"/>
        <v/>
      </c>
      <c r="V304" t="str">
        <f t="shared" si="27"/>
        <v/>
      </c>
      <c r="W304" t="str">
        <f t="shared" si="28"/>
        <v/>
      </c>
    </row>
    <row r="305" spans="1:23" x14ac:dyDescent="0.3">
      <c r="A305" t="s">
        <v>693</v>
      </c>
      <c r="B305" s="1">
        <v>46272.786404375001</v>
      </c>
      <c r="C305" t="s">
        <v>519</v>
      </c>
      <c r="D305" t="s">
        <v>194</v>
      </c>
      <c r="E305" t="s">
        <v>47</v>
      </c>
      <c r="F305" t="s">
        <v>21</v>
      </c>
      <c r="G305" t="s">
        <v>22</v>
      </c>
      <c r="H305" t="s">
        <v>23</v>
      </c>
      <c r="I305" t="s">
        <v>520</v>
      </c>
      <c r="J305">
        <v>100</v>
      </c>
      <c r="K305" t="s">
        <v>632</v>
      </c>
      <c r="L305" t="s">
        <v>522</v>
      </c>
      <c r="M305">
        <v>100</v>
      </c>
      <c r="N305" t="s">
        <v>633</v>
      </c>
      <c r="O305" t="s">
        <v>694</v>
      </c>
      <c r="P305" t="s">
        <v>29</v>
      </c>
      <c r="Q305">
        <v>34145128222</v>
      </c>
      <c r="R305" s="2" t="str">
        <f t="shared" si="29"/>
        <v>java|A3|B1b|B2a|C1a</v>
      </c>
      <c r="S305" t="str">
        <f t="shared" si="30"/>
        <v>P</v>
      </c>
      <c r="T305" t="str">
        <f t="shared" si="25"/>
        <v>same</v>
      </c>
      <c r="U305" t="str">
        <f t="shared" si="26"/>
        <v/>
      </c>
      <c r="V305" t="str">
        <f t="shared" si="27"/>
        <v/>
      </c>
      <c r="W305" t="str">
        <f t="shared" si="28"/>
        <v/>
      </c>
    </row>
    <row r="306" spans="1:23" x14ac:dyDescent="0.3">
      <c r="A306" t="s">
        <v>695</v>
      </c>
      <c r="B306" s="1">
        <v>46272.787990833334</v>
      </c>
      <c r="C306" t="s">
        <v>519</v>
      </c>
      <c r="D306" t="s">
        <v>194</v>
      </c>
      <c r="E306" t="s">
        <v>47</v>
      </c>
      <c r="F306" t="s">
        <v>21</v>
      </c>
      <c r="G306" t="s">
        <v>238</v>
      </c>
      <c r="H306" t="s">
        <v>23</v>
      </c>
      <c r="I306" t="s">
        <v>520</v>
      </c>
      <c r="J306">
        <v>100</v>
      </c>
      <c r="K306" t="s">
        <v>632</v>
      </c>
      <c r="L306" t="s">
        <v>522</v>
      </c>
      <c r="M306">
        <v>100</v>
      </c>
      <c r="N306" t="s">
        <v>633</v>
      </c>
      <c r="O306" t="s">
        <v>696</v>
      </c>
      <c r="P306" t="s">
        <v>29</v>
      </c>
      <c r="Q306">
        <v>34145226429</v>
      </c>
      <c r="R306" s="2" t="str">
        <f t="shared" si="29"/>
        <v>java|A3|B1b|B2a|C1b</v>
      </c>
      <c r="S306" t="str">
        <f t="shared" si="30"/>
        <v>P</v>
      </c>
      <c r="T306" t="str">
        <f t="shared" si="25"/>
        <v/>
      </c>
      <c r="U306" t="str">
        <f t="shared" si="26"/>
        <v/>
      </c>
      <c r="V306" t="str">
        <f t="shared" si="27"/>
        <v/>
      </c>
      <c r="W306" t="str">
        <f t="shared" si="28"/>
        <v/>
      </c>
    </row>
    <row r="307" spans="1:23" x14ac:dyDescent="0.3">
      <c r="A307" t="s">
        <v>697</v>
      </c>
      <c r="B307" s="1">
        <v>46272.789012881942</v>
      </c>
      <c r="C307" t="s">
        <v>519</v>
      </c>
      <c r="D307" t="s">
        <v>194</v>
      </c>
      <c r="E307" t="s">
        <v>47</v>
      </c>
      <c r="F307" t="s">
        <v>21</v>
      </c>
      <c r="G307" t="s">
        <v>31</v>
      </c>
      <c r="H307" t="s">
        <v>23</v>
      </c>
      <c r="I307" t="s">
        <v>520</v>
      </c>
      <c r="J307">
        <v>100</v>
      </c>
      <c r="K307" t="s">
        <v>632</v>
      </c>
      <c r="L307" t="s">
        <v>522</v>
      </c>
      <c r="M307">
        <v>100</v>
      </c>
      <c r="N307" t="s">
        <v>633</v>
      </c>
      <c r="O307" t="s">
        <v>698</v>
      </c>
      <c r="P307" t="s">
        <v>29</v>
      </c>
      <c r="Q307">
        <v>34145386104</v>
      </c>
      <c r="R307" s="2" t="str">
        <f t="shared" si="29"/>
        <v>java|A3|B1b|B2a|C1c</v>
      </c>
      <c r="S307" t="str">
        <f t="shared" si="30"/>
        <v>P</v>
      </c>
      <c r="T307" t="str">
        <f t="shared" si="25"/>
        <v/>
      </c>
      <c r="U307" t="str">
        <f t="shared" si="26"/>
        <v/>
      </c>
      <c r="V307" t="str">
        <f t="shared" si="27"/>
        <v/>
      </c>
      <c r="W307" t="str">
        <f t="shared" si="28"/>
        <v/>
      </c>
    </row>
    <row r="308" spans="1:23" x14ac:dyDescent="0.3">
      <c r="A308" t="s">
        <v>699</v>
      </c>
      <c r="B308" s="1">
        <v>46272.790227361111</v>
      </c>
      <c r="C308" t="s">
        <v>519</v>
      </c>
      <c r="D308" t="s">
        <v>194</v>
      </c>
      <c r="E308" t="s">
        <v>47</v>
      </c>
      <c r="F308" t="s">
        <v>34</v>
      </c>
      <c r="G308" t="s">
        <v>22</v>
      </c>
      <c r="H308" t="s">
        <v>35</v>
      </c>
      <c r="I308" t="s">
        <v>520</v>
      </c>
      <c r="J308">
        <v>103</v>
      </c>
      <c r="K308" t="s">
        <v>544</v>
      </c>
      <c r="L308" t="s">
        <v>522</v>
      </c>
      <c r="M308">
        <v>103</v>
      </c>
      <c r="N308" t="s">
        <v>545</v>
      </c>
      <c r="O308" t="s">
        <v>700</v>
      </c>
      <c r="P308" t="s">
        <v>29</v>
      </c>
      <c r="Q308">
        <v>34145490315</v>
      </c>
      <c r="R308" s="2" t="str">
        <f t="shared" si="29"/>
        <v>java|A3|B1b|B2b|C1a</v>
      </c>
      <c r="S308" t="str">
        <f t="shared" si="30"/>
        <v>M</v>
      </c>
      <c r="T308" t="str">
        <f t="shared" si="25"/>
        <v>same</v>
      </c>
      <c r="U308" t="str">
        <f t="shared" si="26"/>
        <v/>
      </c>
      <c r="V308" t="str">
        <f t="shared" si="27"/>
        <v/>
      </c>
      <c r="W308" t="str">
        <f t="shared" si="28"/>
        <v/>
      </c>
    </row>
    <row r="309" spans="1:23" x14ac:dyDescent="0.3">
      <c r="A309" t="s">
        <v>701</v>
      </c>
      <c r="B309" s="1">
        <v>46272.791434027778</v>
      </c>
      <c r="C309" t="s">
        <v>519</v>
      </c>
      <c r="D309" t="s">
        <v>194</v>
      </c>
      <c r="E309" t="s">
        <v>47</v>
      </c>
      <c r="F309" t="s">
        <v>34</v>
      </c>
      <c r="G309" t="s">
        <v>238</v>
      </c>
      <c r="H309" t="s">
        <v>35</v>
      </c>
      <c r="I309" t="s">
        <v>520</v>
      </c>
      <c r="J309">
        <v>103</v>
      </c>
      <c r="K309" t="s">
        <v>544</v>
      </c>
      <c r="L309" t="s">
        <v>522</v>
      </c>
      <c r="M309">
        <v>103</v>
      </c>
      <c r="N309" t="s">
        <v>545</v>
      </c>
      <c r="O309" t="s">
        <v>702</v>
      </c>
      <c r="P309" t="s">
        <v>29</v>
      </c>
      <c r="Q309">
        <v>34145605625</v>
      </c>
      <c r="R309" s="2" t="str">
        <f t="shared" si="29"/>
        <v>java|A3|B1b|B2b|C1b</v>
      </c>
      <c r="S309" t="str">
        <f t="shared" si="30"/>
        <v>M</v>
      </c>
      <c r="T309" t="str">
        <f t="shared" si="25"/>
        <v/>
      </c>
      <c r="U309" t="str">
        <f t="shared" si="26"/>
        <v/>
      </c>
      <c r="V309" t="str">
        <f t="shared" si="27"/>
        <v/>
      </c>
      <c r="W309" t="str">
        <f t="shared" si="28"/>
        <v/>
      </c>
    </row>
    <row r="310" spans="1:23" x14ac:dyDescent="0.3">
      <c r="A310" t="s">
        <v>703</v>
      </c>
      <c r="B310" s="1">
        <v>46272.792675092591</v>
      </c>
      <c r="C310" t="s">
        <v>519</v>
      </c>
      <c r="D310" t="s">
        <v>194</v>
      </c>
      <c r="E310" t="s">
        <v>47</v>
      </c>
      <c r="F310" t="s">
        <v>34</v>
      </c>
      <c r="G310" t="s">
        <v>31</v>
      </c>
      <c r="H310" t="s">
        <v>35</v>
      </c>
      <c r="I310" t="s">
        <v>520</v>
      </c>
      <c r="J310">
        <v>103</v>
      </c>
      <c r="K310" t="s">
        <v>544</v>
      </c>
      <c r="L310" t="s">
        <v>522</v>
      </c>
      <c r="M310">
        <v>103</v>
      </c>
      <c r="N310" t="s">
        <v>545</v>
      </c>
      <c r="O310" t="s">
        <v>704</v>
      </c>
      <c r="P310" t="s">
        <v>29</v>
      </c>
      <c r="Q310">
        <v>34145718972</v>
      </c>
      <c r="R310" s="2" t="str">
        <f t="shared" si="29"/>
        <v>java|A3|B1b|B2b|C1c</v>
      </c>
      <c r="S310" t="str">
        <f t="shared" si="30"/>
        <v>M</v>
      </c>
      <c r="T310" t="str">
        <f t="shared" si="25"/>
        <v/>
      </c>
      <c r="U310" t="str">
        <f t="shared" si="26"/>
        <v/>
      </c>
      <c r="V310" t="str">
        <f t="shared" si="27"/>
        <v/>
      </c>
      <c r="W310" t="str">
        <f t="shared" si="28"/>
        <v/>
      </c>
    </row>
    <row r="311" spans="1:23" x14ac:dyDescent="0.3">
      <c r="A311" t="s">
        <v>705</v>
      </c>
      <c r="B311" s="1">
        <v>46272.793174016202</v>
      </c>
      <c r="C311" t="s">
        <v>519</v>
      </c>
      <c r="D311" t="s">
        <v>194</v>
      </c>
      <c r="E311" t="s">
        <v>79</v>
      </c>
      <c r="F311" t="s">
        <v>21</v>
      </c>
      <c r="G311" t="s">
        <v>22</v>
      </c>
      <c r="H311" t="s">
        <v>48</v>
      </c>
      <c r="I311" t="s">
        <v>49</v>
      </c>
      <c r="K311" t="s">
        <v>49</v>
      </c>
      <c r="L311" t="s">
        <v>49</v>
      </c>
      <c r="N311" t="s">
        <v>49</v>
      </c>
      <c r="O311" t="s">
        <v>706</v>
      </c>
      <c r="P311" t="s">
        <v>29</v>
      </c>
      <c r="Q311">
        <v>34145853694</v>
      </c>
      <c r="R311" s="2" t="str">
        <f t="shared" si="29"/>
        <v>java|A3|B1d|B2a|C1a</v>
      </c>
      <c r="S311" t="str">
        <f t="shared" si="30"/>
        <v>E</v>
      </c>
      <c r="T311" t="str">
        <f t="shared" si="25"/>
        <v>same</v>
      </c>
      <c r="U311" t="str">
        <f t="shared" si="26"/>
        <v/>
      </c>
      <c r="V311" t="str">
        <f t="shared" si="27"/>
        <v/>
      </c>
      <c r="W311" t="str">
        <f t="shared" si="28"/>
        <v/>
      </c>
    </row>
    <row r="312" spans="1:23" x14ac:dyDescent="0.3">
      <c r="A312" t="s">
        <v>707</v>
      </c>
      <c r="B312" s="1">
        <v>46272.794339884262</v>
      </c>
      <c r="C312" t="s">
        <v>519</v>
      </c>
      <c r="D312" t="s">
        <v>194</v>
      </c>
      <c r="E312" t="s">
        <v>79</v>
      </c>
      <c r="F312" t="s">
        <v>21</v>
      </c>
      <c r="G312" t="s">
        <v>238</v>
      </c>
      <c r="H312" t="s">
        <v>48</v>
      </c>
      <c r="I312" t="s">
        <v>520</v>
      </c>
      <c r="J312">
        <v>100</v>
      </c>
      <c r="K312" t="s">
        <v>49</v>
      </c>
      <c r="L312" t="s">
        <v>522</v>
      </c>
      <c r="M312">
        <v>100</v>
      </c>
      <c r="N312" t="s">
        <v>49</v>
      </c>
      <c r="O312" t="s">
        <v>708</v>
      </c>
      <c r="P312" t="s">
        <v>29</v>
      </c>
      <c r="Q312">
        <v>34145906393</v>
      </c>
      <c r="R312" s="2" t="str">
        <f t="shared" si="29"/>
        <v>java|A3|B1d|B2a|C1b</v>
      </c>
      <c r="S312" t="str">
        <f t="shared" si="30"/>
        <v>E</v>
      </c>
      <c r="T312" t="str">
        <f t="shared" si="25"/>
        <v/>
      </c>
      <c r="U312" t="str">
        <f t="shared" si="26"/>
        <v/>
      </c>
      <c r="V312" t="str">
        <f t="shared" si="27"/>
        <v/>
      </c>
      <c r="W312" t="str">
        <f t="shared" si="28"/>
        <v/>
      </c>
    </row>
    <row r="313" spans="1:23" x14ac:dyDescent="0.3">
      <c r="A313" t="s">
        <v>709</v>
      </c>
      <c r="B313" s="1">
        <v>46272.794831296298</v>
      </c>
      <c r="C313" t="s">
        <v>519</v>
      </c>
      <c r="D313" t="s">
        <v>194</v>
      </c>
      <c r="E313" t="s">
        <v>79</v>
      </c>
      <c r="F313" t="s">
        <v>21</v>
      </c>
      <c r="G313" t="s">
        <v>31</v>
      </c>
      <c r="H313" t="s">
        <v>48</v>
      </c>
      <c r="I313" t="s">
        <v>49</v>
      </c>
      <c r="K313" t="s">
        <v>49</v>
      </c>
      <c r="L313" t="s">
        <v>49</v>
      </c>
      <c r="N313" t="s">
        <v>49</v>
      </c>
      <c r="O313" t="s">
        <v>710</v>
      </c>
      <c r="P313" t="s">
        <v>29</v>
      </c>
      <c r="Q313">
        <v>34146024038</v>
      </c>
      <c r="R313" s="2" t="str">
        <f t="shared" si="29"/>
        <v>java|A3|B1d|B2a|C1c</v>
      </c>
      <c r="S313" t="str">
        <f t="shared" si="30"/>
        <v>E</v>
      </c>
      <c r="T313" t="str">
        <f t="shared" si="25"/>
        <v/>
      </c>
      <c r="U313" t="str">
        <f t="shared" si="26"/>
        <v/>
      </c>
      <c r="V313" t="str">
        <f t="shared" si="27"/>
        <v/>
      </c>
      <c r="W313" t="str">
        <f t="shared" si="28"/>
        <v/>
      </c>
    </row>
    <row r="314" spans="1:23" x14ac:dyDescent="0.3">
      <c r="A314" t="s">
        <v>711</v>
      </c>
      <c r="B314" s="1">
        <v>46272.795709583334</v>
      </c>
      <c r="C314" t="s">
        <v>519</v>
      </c>
      <c r="D314" t="s">
        <v>194</v>
      </c>
      <c r="E314" t="s">
        <v>79</v>
      </c>
      <c r="F314" t="s">
        <v>34</v>
      </c>
      <c r="G314" t="s">
        <v>22</v>
      </c>
      <c r="H314" t="s">
        <v>35</v>
      </c>
      <c r="I314" t="s">
        <v>520</v>
      </c>
      <c r="J314">
        <v>103</v>
      </c>
      <c r="K314" t="s">
        <v>544</v>
      </c>
      <c r="L314" t="s">
        <v>522</v>
      </c>
      <c r="M314">
        <v>103</v>
      </c>
      <c r="N314" t="s">
        <v>545</v>
      </c>
      <c r="O314" t="s">
        <v>712</v>
      </c>
      <c r="P314" t="s">
        <v>29</v>
      </c>
      <c r="Q314">
        <v>34146075871</v>
      </c>
      <c r="R314" s="2" t="str">
        <f t="shared" si="29"/>
        <v>java|A3|B1d|B2b|C1a</v>
      </c>
      <c r="S314" t="str">
        <f t="shared" si="30"/>
        <v>M</v>
      </c>
      <c r="T314" t="str">
        <f t="shared" si="25"/>
        <v>same</v>
      </c>
      <c r="U314" t="str">
        <f t="shared" si="26"/>
        <v/>
      </c>
      <c r="V314" t="str">
        <f t="shared" si="27"/>
        <v/>
      </c>
      <c r="W314" t="str">
        <f t="shared" si="28"/>
        <v/>
      </c>
    </row>
    <row r="315" spans="1:23" x14ac:dyDescent="0.3">
      <c r="A315" t="s">
        <v>713</v>
      </c>
      <c r="B315" s="1">
        <v>46272.796718391204</v>
      </c>
      <c r="C315" t="s">
        <v>519</v>
      </c>
      <c r="D315" t="s">
        <v>194</v>
      </c>
      <c r="E315" t="s">
        <v>79</v>
      </c>
      <c r="F315" t="s">
        <v>34</v>
      </c>
      <c r="G315" t="s">
        <v>238</v>
      </c>
      <c r="H315" t="s">
        <v>35</v>
      </c>
      <c r="I315" t="s">
        <v>520</v>
      </c>
      <c r="J315">
        <v>103</v>
      </c>
      <c r="K315" t="s">
        <v>544</v>
      </c>
      <c r="L315" t="s">
        <v>522</v>
      </c>
      <c r="M315">
        <v>103</v>
      </c>
      <c r="N315" t="s">
        <v>545</v>
      </c>
      <c r="O315" t="s">
        <v>714</v>
      </c>
      <c r="P315" t="s">
        <v>29</v>
      </c>
      <c r="Q315">
        <v>34146172798</v>
      </c>
      <c r="R315" s="2" t="str">
        <f t="shared" si="29"/>
        <v>java|A3|B1d|B2b|C1b</v>
      </c>
      <c r="S315" t="str">
        <f t="shared" si="30"/>
        <v>M</v>
      </c>
      <c r="T315" t="str">
        <f t="shared" si="25"/>
        <v/>
      </c>
      <c r="U315" t="str">
        <f t="shared" si="26"/>
        <v/>
      </c>
      <c r="V315" t="str">
        <f t="shared" si="27"/>
        <v/>
      </c>
      <c r="W315" t="str">
        <f t="shared" si="28"/>
        <v/>
      </c>
    </row>
    <row r="316" spans="1:23" x14ac:dyDescent="0.3">
      <c r="A316" t="s">
        <v>715</v>
      </c>
      <c r="B316" s="1">
        <v>46272.797957037037</v>
      </c>
      <c r="C316" t="s">
        <v>519</v>
      </c>
      <c r="D316" t="s">
        <v>194</v>
      </c>
      <c r="E316" t="s">
        <v>79</v>
      </c>
      <c r="F316" t="s">
        <v>34</v>
      </c>
      <c r="G316" t="s">
        <v>31</v>
      </c>
      <c r="H316" t="s">
        <v>35</v>
      </c>
      <c r="I316" t="s">
        <v>520</v>
      </c>
      <c r="J316">
        <v>103</v>
      </c>
      <c r="K316" t="s">
        <v>544</v>
      </c>
      <c r="L316" t="s">
        <v>522</v>
      </c>
      <c r="M316">
        <v>103</v>
      </c>
      <c r="N316" t="s">
        <v>545</v>
      </c>
      <c r="O316" t="s">
        <v>716</v>
      </c>
      <c r="P316" t="s">
        <v>29</v>
      </c>
      <c r="Q316">
        <v>34146276254</v>
      </c>
      <c r="R316" s="2" t="str">
        <f t="shared" si="29"/>
        <v>java|A3|B1d|B2b|C1c</v>
      </c>
      <c r="S316" t="str">
        <f t="shared" si="30"/>
        <v>M</v>
      </c>
      <c r="T316" t="str">
        <f t="shared" si="25"/>
        <v/>
      </c>
      <c r="U316" t="str">
        <f t="shared" si="26"/>
        <v/>
      </c>
      <c r="V316" t="str">
        <f t="shared" si="27"/>
        <v/>
      </c>
      <c r="W316" t="str">
        <f t="shared" si="28"/>
        <v/>
      </c>
    </row>
    <row r="317" spans="1:23" x14ac:dyDescent="0.3">
      <c r="A317" t="s">
        <v>717</v>
      </c>
      <c r="B317" s="1">
        <v>46273.377052037038</v>
      </c>
      <c r="C317" t="s">
        <v>18</v>
      </c>
      <c r="D317" t="s">
        <v>19</v>
      </c>
      <c r="E317" t="s">
        <v>20</v>
      </c>
      <c r="F317" t="s">
        <v>21</v>
      </c>
      <c r="G317" t="s">
        <v>238</v>
      </c>
      <c r="H317" t="s">
        <v>23</v>
      </c>
      <c r="I317" t="s">
        <v>24</v>
      </c>
      <c r="J317">
        <v>100</v>
      </c>
      <c r="K317" t="s">
        <v>718</v>
      </c>
      <c r="L317" t="s">
        <v>26</v>
      </c>
      <c r="M317">
        <v>100</v>
      </c>
      <c r="N317" t="s">
        <v>719</v>
      </c>
      <c r="O317" t="s">
        <v>720</v>
      </c>
      <c r="P317" t="s">
        <v>721</v>
      </c>
      <c r="Q317">
        <v>34197397528</v>
      </c>
      <c r="R317" s="2" t="str">
        <f t="shared" si="29"/>
        <v>nodejs|A1a|B1a|B2a|C1b</v>
      </c>
      <c r="S317" t="str">
        <f t="shared" si="30"/>
        <v>P</v>
      </c>
      <c r="T317" t="str">
        <f t="shared" si="25"/>
        <v/>
      </c>
      <c r="U317" t="str">
        <f t="shared" si="26"/>
        <v/>
      </c>
      <c r="V317" t="str">
        <f t="shared" si="27"/>
        <v/>
      </c>
      <c r="W317" t="str">
        <f t="shared" si="28"/>
        <v>same</v>
      </c>
    </row>
    <row r="318" spans="1:23" x14ac:dyDescent="0.3">
      <c r="A318" t="s">
        <v>722</v>
      </c>
      <c r="B318" s="1">
        <v>46273.37744945602</v>
      </c>
      <c r="C318" t="s">
        <v>18</v>
      </c>
      <c r="D318" t="s">
        <v>19</v>
      </c>
      <c r="E318" t="s">
        <v>20</v>
      </c>
      <c r="F318" t="s">
        <v>34</v>
      </c>
      <c r="G318" t="s">
        <v>238</v>
      </c>
      <c r="H318" t="s">
        <v>35</v>
      </c>
      <c r="I318" t="s">
        <v>24</v>
      </c>
      <c r="J318">
        <v>103</v>
      </c>
      <c r="K318" t="s">
        <v>36</v>
      </c>
      <c r="L318" t="s">
        <v>26</v>
      </c>
      <c r="M318">
        <v>103</v>
      </c>
      <c r="N318" t="s">
        <v>37</v>
      </c>
      <c r="O318" t="s">
        <v>723</v>
      </c>
      <c r="P318" t="s">
        <v>721</v>
      </c>
      <c r="Q318">
        <v>34197451848</v>
      </c>
      <c r="R318" s="2" t="str">
        <f t="shared" si="29"/>
        <v>nodejs|A1a|B1a|B2b|C1b</v>
      </c>
      <c r="S318" t="str">
        <f t="shared" si="30"/>
        <v>M</v>
      </c>
      <c r="T318" t="str">
        <f t="shared" si="25"/>
        <v/>
      </c>
      <c r="U318" t="str">
        <f t="shared" si="26"/>
        <v/>
      </c>
      <c r="V318" t="str">
        <f t="shared" si="27"/>
        <v/>
      </c>
      <c r="W318" t="str">
        <f t="shared" si="28"/>
        <v>same</v>
      </c>
    </row>
    <row r="319" spans="1:23" x14ac:dyDescent="0.3">
      <c r="A319" t="s">
        <v>724</v>
      </c>
      <c r="B319" s="1">
        <v>46273.377842013891</v>
      </c>
      <c r="C319" t="s">
        <v>18</v>
      </c>
      <c r="D319" t="s">
        <v>19</v>
      </c>
      <c r="E319" t="s">
        <v>20</v>
      </c>
      <c r="F319" t="s">
        <v>42</v>
      </c>
      <c r="G319" t="s">
        <v>238</v>
      </c>
      <c r="H319" t="s">
        <v>35</v>
      </c>
      <c r="I319" t="s">
        <v>24</v>
      </c>
      <c r="J319">
        <v>103</v>
      </c>
      <c r="K319" t="s">
        <v>36</v>
      </c>
      <c r="L319" t="s">
        <v>26</v>
      </c>
      <c r="M319">
        <v>103</v>
      </c>
      <c r="N319" t="s">
        <v>37</v>
      </c>
      <c r="O319" t="s">
        <v>725</v>
      </c>
      <c r="P319" t="s">
        <v>721</v>
      </c>
      <c r="Q319">
        <v>34197497889</v>
      </c>
      <c r="R319" s="2" t="str">
        <f t="shared" si="29"/>
        <v>nodejs|A1a|B1a|B2c|C1b</v>
      </c>
      <c r="S319" t="str">
        <f t="shared" si="30"/>
        <v>M</v>
      </c>
      <c r="T319" t="str">
        <f t="shared" si="25"/>
        <v/>
      </c>
      <c r="U319" t="str">
        <f t="shared" si="26"/>
        <v/>
      </c>
      <c r="V319" t="str">
        <f t="shared" si="27"/>
        <v/>
      </c>
      <c r="W319" t="str">
        <f t="shared" si="28"/>
        <v>same</v>
      </c>
    </row>
    <row r="320" spans="1:23" x14ac:dyDescent="0.3">
      <c r="A320" t="s">
        <v>726</v>
      </c>
      <c r="B320" s="1">
        <v>46273.378245335647</v>
      </c>
      <c r="C320" t="s">
        <v>18</v>
      </c>
      <c r="D320" t="s">
        <v>19</v>
      </c>
      <c r="E320" t="s">
        <v>47</v>
      </c>
      <c r="F320" t="s">
        <v>21</v>
      </c>
      <c r="G320" t="s">
        <v>238</v>
      </c>
      <c r="H320" t="s">
        <v>48</v>
      </c>
      <c r="I320" t="s">
        <v>49</v>
      </c>
      <c r="K320" t="s">
        <v>49</v>
      </c>
      <c r="L320" t="s">
        <v>49</v>
      </c>
      <c r="N320" t="s">
        <v>49</v>
      </c>
      <c r="O320" t="s">
        <v>727</v>
      </c>
      <c r="P320" t="s">
        <v>721</v>
      </c>
      <c r="Q320">
        <v>34197543317</v>
      </c>
      <c r="R320" s="2" t="str">
        <f t="shared" si="29"/>
        <v>nodejs|A1a|B1b|B2a|C1b</v>
      </c>
      <c r="S320" t="str">
        <f t="shared" si="30"/>
        <v>E</v>
      </c>
      <c r="T320" t="str">
        <f t="shared" si="25"/>
        <v/>
      </c>
      <c r="U320" t="str">
        <f t="shared" si="26"/>
        <v>same</v>
      </c>
      <c r="V320" t="str">
        <f t="shared" si="27"/>
        <v/>
      </c>
      <c r="W320" t="str">
        <f t="shared" si="28"/>
        <v>same</v>
      </c>
    </row>
    <row r="321" spans="1:23" x14ac:dyDescent="0.3">
      <c r="A321" t="s">
        <v>728</v>
      </c>
      <c r="B321" s="1">
        <v>46273.37863939815</v>
      </c>
      <c r="C321" t="s">
        <v>18</v>
      </c>
      <c r="D321" t="s">
        <v>19</v>
      </c>
      <c r="E321" t="s">
        <v>47</v>
      </c>
      <c r="F321" t="s">
        <v>34</v>
      </c>
      <c r="G321" t="s">
        <v>238</v>
      </c>
      <c r="H321" t="s">
        <v>35</v>
      </c>
      <c r="I321" t="s">
        <v>24</v>
      </c>
      <c r="J321">
        <v>103</v>
      </c>
      <c r="K321" t="s">
        <v>54</v>
      </c>
      <c r="L321" t="s">
        <v>26</v>
      </c>
      <c r="M321">
        <v>103</v>
      </c>
      <c r="N321" t="s">
        <v>55</v>
      </c>
      <c r="O321" t="s">
        <v>729</v>
      </c>
      <c r="P321" t="s">
        <v>721</v>
      </c>
      <c r="Q321">
        <v>34197589207</v>
      </c>
      <c r="R321" s="2" t="str">
        <f t="shared" si="29"/>
        <v>nodejs|A1a|B1b|B2b|C1b</v>
      </c>
      <c r="S321" t="str">
        <f t="shared" si="30"/>
        <v>M</v>
      </c>
      <c r="T321" t="str">
        <f t="shared" si="25"/>
        <v/>
      </c>
      <c r="U321" t="str">
        <f t="shared" si="26"/>
        <v>same</v>
      </c>
      <c r="V321" t="str">
        <f t="shared" si="27"/>
        <v/>
      </c>
      <c r="W321" t="str">
        <f t="shared" si="28"/>
        <v>same</v>
      </c>
    </row>
    <row r="322" spans="1:23" x14ac:dyDescent="0.3">
      <c r="A322" t="s">
        <v>730</v>
      </c>
      <c r="B322" s="1">
        <v>46273.379035405094</v>
      </c>
      <c r="C322" t="s">
        <v>18</v>
      </c>
      <c r="D322" t="s">
        <v>19</v>
      </c>
      <c r="E322" t="s">
        <v>47</v>
      </c>
      <c r="F322" t="s">
        <v>42</v>
      </c>
      <c r="G322" t="s">
        <v>238</v>
      </c>
      <c r="H322" t="s">
        <v>35</v>
      </c>
      <c r="I322" t="s">
        <v>24</v>
      </c>
      <c r="J322">
        <v>103</v>
      </c>
      <c r="K322" t="s">
        <v>54</v>
      </c>
      <c r="L322" t="s">
        <v>26</v>
      </c>
      <c r="M322">
        <v>103</v>
      </c>
      <c r="N322" t="s">
        <v>55</v>
      </c>
      <c r="O322" t="s">
        <v>731</v>
      </c>
      <c r="P322" t="s">
        <v>721</v>
      </c>
      <c r="Q322">
        <v>34197638344</v>
      </c>
      <c r="R322" s="2" t="str">
        <f t="shared" si="29"/>
        <v>nodejs|A1a|B1b|B2c|C1b</v>
      </c>
      <c r="S322" t="str">
        <f t="shared" si="30"/>
        <v>M</v>
      </c>
      <c r="T322" t="str">
        <f t="shared" ref="T322:T385" si="31">IF(G322="C1a",IF(H322=VLOOKUP(SUBSTITUTE(A322,"_C1a","_C1c"),$A:$H,8,FALSE),"same","DIFF"),"")</f>
        <v/>
      </c>
      <c r="U322" t="str">
        <f t="shared" ref="U322:U385" si="32">IF(AND(C322="nodejs",E322="B1b"),IF(H322=VLOOKUP(SUBSTITUTE(A322,"_B1b_","_B1d_"),$A:$H,8,FALSE),"same","DIFF"),"")</f>
        <v>same</v>
      </c>
      <c r="V322" t="str">
        <f t="shared" ref="V322:V385" si="33">IF(AND(C322="nodejs",E322="B1c",H322&lt;&gt;"invalid_configuration"),IF(H322=VLOOKUP(SUBSTITUTE(A322,"_B1c_","_B1b_"),$A:$H,8,FALSE),"same","DIFF"),"")</f>
        <v/>
      </c>
      <c r="W322" t="str">
        <f t="shared" ref="W322:W385" si="34">IF(D322="A1a",IF(H322=VLOOKUP(SUBSTITUTE(A322,"_A1a_","_A1b_"),$A:$H,8,FALSE),"same","DIFF"),"")</f>
        <v>same</v>
      </c>
    </row>
    <row r="323" spans="1:23" x14ac:dyDescent="0.3">
      <c r="A323" t="s">
        <v>732</v>
      </c>
      <c r="B323" s="1">
        <v>46273.379432754627</v>
      </c>
      <c r="C323" t="s">
        <v>18</v>
      </c>
      <c r="D323" t="s">
        <v>19</v>
      </c>
      <c r="E323" t="s">
        <v>64</v>
      </c>
      <c r="F323" t="s">
        <v>21</v>
      </c>
      <c r="G323" t="s">
        <v>238</v>
      </c>
      <c r="H323" t="s">
        <v>48</v>
      </c>
      <c r="I323" t="s">
        <v>49</v>
      </c>
      <c r="K323" t="s">
        <v>49</v>
      </c>
      <c r="L323" t="s">
        <v>49</v>
      </c>
      <c r="N323" t="s">
        <v>49</v>
      </c>
      <c r="O323" t="s">
        <v>733</v>
      </c>
      <c r="P323" t="s">
        <v>721</v>
      </c>
      <c r="Q323">
        <v>34197686598</v>
      </c>
      <c r="R323" s="2" t="str">
        <f t="shared" ref="R323:R386" si="35">C323&amp;"|"&amp;D323&amp;"|"&amp;E323&amp;"|"&amp;F323&amp;"|"&amp;G323</f>
        <v>nodejs|A1a|B1c|B2a|C1b</v>
      </c>
      <c r="S323" t="str">
        <f t="shared" ref="S323:S386" si="36">IF(H323="malicious_resolved","M",IF(H323="private_resolved","P",IF(H323="resolution_error","E","-")))</f>
        <v>E</v>
      </c>
      <c r="T323" t="str">
        <f t="shared" si="31"/>
        <v/>
      </c>
      <c r="U323" t="str">
        <f t="shared" si="32"/>
        <v/>
      </c>
      <c r="V323" t="str">
        <f t="shared" si="33"/>
        <v>same</v>
      </c>
      <c r="W323" t="str">
        <f t="shared" si="34"/>
        <v>same</v>
      </c>
    </row>
    <row r="324" spans="1:23" x14ac:dyDescent="0.3">
      <c r="A324" t="s">
        <v>734</v>
      </c>
      <c r="B324" s="1">
        <v>46273.379834432868</v>
      </c>
      <c r="C324" t="s">
        <v>18</v>
      </c>
      <c r="D324" t="s">
        <v>19</v>
      </c>
      <c r="E324" t="s">
        <v>64</v>
      </c>
      <c r="F324" t="s">
        <v>34</v>
      </c>
      <c r="G324" t="s">
        <v>238</v>
      </c>
      <c r="H324" t="s">
        <v>35</v>
      </c>
      <c r="I324" t="s">
        <v>24</v>
      </c>
      <c r="J324">
        <v>103</v>
      </c>
      <c r="K324" t="s">
        <v>69</v>
      </c>
      <c r="L324" t="s">
        <v>26</v>
      </c>
      <c r="M324">
        <v>103</v>
      </c>
      <c r="N324" t="s">
        <v>70</v>
      </c>
      <c r="O324" t="s">
        <v>735</v>
      </c>
      <c r="P324" t="s">
        <v>721</v>
      </c>
      <c r="Q324">
        <v>34197733067</v>
      </c>
      <c r="R324" s="2" t="str">
        <f t="shared" si="35"/>
        <v>nodejs|A1a|B1c|B2b|C1b</v>
      </c>
      <c r="S324" t="str">
        <f t="shared" si="36"/>
        <v>M</v>
      </c>
      <c r="T324" t="str">
        <f t="shared" si="31"/>
        <v/>
      </c>
      <c r="U324" t="str">
        <f t="shared" si="32"/>
        <v/>
      </c>
      <c r="V324" t="str">
        <f t="shared" si="33"/>
        <v>same</v>
      </c>
      <c r="W324" t="str">
        <f t="shared" si="34"/>
        <v>same</v>
      </c>
    </row>
    <row r="325" spans="1:23" x14ac:dyDescent="0.3">
      <c r="A325" t="s">
        <v>736</v>
      </c>
      <c r="B325" s="1">
        <v>46273.38023210648</v>
      </c>
      <c r="C325" t="s">
        <v>18</v>
      </c>
      <c r="D325" t="s">
        <v>19</v>
      </c>
      <c r="E325" t="s">
        <v>64</v>
      </c>
      <c r="F325" t="s">
        <v>42</v>
      </c>
      <c r="G325" t="s">
        <v>238</v>
      </c>
      <c r="H325" t="s">
        <v>35</v>
      </c>
      <c r="I325" t="s">
        <v>24</v>
      </c>
      <c r="J325">
        <v>103</v>
      </c>
      <c r="K325" t="s">
        <v>69</v>
      </c>
      <c r="L325" t="s">
        <v>26</v>
      </c>
      <c r="M325">
        <v>103</v>
      </c>
      <c r="N325" t="s">
        <v>70</v>
      </c>
      <c r="O325" t="s">
        <v>737</v>
      </c>
      <c r="P325" t="s">
        <v>721</v>
      </c>
      <c r="Q325">
        <v>34197778937</v>
      </c>
      <c r="R325" s="2" t="str">
        <f t="shared" si="35"/>
        <v>nodejs|A1a|B1c|B2c|C1b</v>
      </c>
      <c r="S325" t="str">
        <f t="shared" si="36"/>
        <v>M</v>
      </c>
      <c r="T325" t="str">
        <f t="shared" si="31"/>
        <v/>
      </c>
      <c r="U325" t="str">
        <f t="shared" si="32"/>
        <v/>
      </c>
      <c r="V325" t="str">
        <f t="shared" si="33"/>
        <v>same</v>
      </c>
      <c r="W325" t="str">
        <f t="shared" si="34"/>
        <v>same</v>
      </c>
    </row>
    <row r="326" spans="1:23" x14ac:dyDescent="0.3">
      <c r="A326" t="s">
        <v>738</v>
      </c>
      <c r="B326" s="1">
        <v>46273.380620335651</v>
      </c>
      <c r="C326" t="s">
        <v>18</v>
      </c>
      <c r="D326" t="s">
        <v>19</v>
      </c>
      <c r="E326" t="s">
        <v>79</v>
      </c>
      <c r="F326" t="s">
        <v>21</v>
      </c>
      <c r="G326" t="s">
        <v>238</v>
      </c>
      <c r="H326" t="s">
        <v>48</v>
      </c>
      <c r="I326" t="s">
        <v>49</v>
      </c>
      <c r="K326" t="s">
        <v>49</v>
      </c>
      <c r="L326" t="s">
        <v>49</v>
      </c>
      <c r="N326" t="s">
        <v>49</v>
      </c>
      <c r="O326" t="s">
        <v>739</v>
      </c>
      <c r="P326" t="s">
        <v>721</v>
      </c>
      <c r="Q326">
        <v>34197822949</v>
      </c>
      <c r="R326" s="2" t="str">
        <f t="shared" si="35"/>
        <v>nodejs|A1a|B1d|B2a|C1b</v>
      </c>
      <c r="S326" t="str">
        <f t="shared" si="36"/>
        <v>E</v>
      </c>
      <c r="T326" t="str">
        <f t="shared" si="31"/>
        <v/>
      </c>
      <c r="U326" t="str">
        <f t="shared" si="32"/>
        <v/>
      </c>
      <c r="V326" t="str">
        <f t="shared" si="33"/>
        <v/>
      </c>
      <c r="W326" t="str">
        <f t="shared" si="34"/>
        <v>same</v>
      </c>
    </row>
    <row r="327" spans="1:23" x14ac:dyDescent="0.3">
      <c r="A327" t="s">
        <v>740</v>
      </c>
      <c r="B327" s="1">
        <v>46273.381017881948</v>
      </c>
      <c r="C327" t="s">
        <v>18</v>
      </c>
      <c r="D327" t="s">
        <v>19</v>
      </c>
      <c r="E327" t="s">
        <v>79</v>
      </c>
      <c r="F327" t="s">
        <v>34</v>
      </c>
      <c r="G327" t="s">
        <v>238</v>
      </c>
      <c r="H327" t="s">
        <v>35</v>
      </c>
      <c r="I327" t="s">
        <v>24</v>
      </c>
      <c r="J327">
        <v>103</v>
      </c>
      <c r="K327" t="s">
        <v>54</v>
      </c>
      <c r="L327" t="s">
        <v>26</v>
      </c>
      <c r="M327">
        <v>103</v>
      </c>
      <c r="N327" t="s">
        <v>55</v>
      </c>
      <c r="O327" t="s">
        <v>741</v>
      </c>
      <c r="P327" t="s">
        <v>721</v>
      </c>
      <c r="Q327">
        <v>34197868372</v>
      </c>
      <c r="R327" s="2" t="str">
        <f t="shared" si="35"/>
        <v>nodejs|A1a|B1d|B2b|C1b</v>
      </c>
      <c r="S327" t="str">
        <f t="shared" si="36"/>
        <v>M</v>
      </c>
      <c r="T327" t="str">
        <f t="shared" si="31"/>
        <v/>
      </c>
      <c r="U327" t="str">
        <f t="shared" si="32"/>
        <v/>
      </c>
      <c r="V327" t="str">
        <f t="shared" si="33"/>
        <v/>
      </c>
      <c r="W327" t="str">
        <f t="shared" si="34"/>
        <v>same</v>
      </c>
    </row>
    <row r="328" spans="1:23" x14ac:dyDescent="0.3">
      <c r="A328" t="s">
        <v>742</v>
      </c>
      <c r="B328" s="1">
        <v>46273.381410520837</v>
      </c>
      <c r="C328" t="s">
        <v>18</v>
      </c>
      <c r="D328" t="s">
        <v>19</v>
      </c>
      <c r="E328" t="s">
        <v>79</v>
      </c>
      <c r="F328" t="s">
        <v>42</v>
      </c>
      <c r="G328" t="s">
        <v>238</v>
      </c>
      <c r="H328" t="s">
        <v>35</v>
      </c>
      <c r="I328" t="s">
        <v>24</v>
      </c>
      <c r="J328">
        <v>103</v>
      </c>
      <c r="K328" t="s">
        <v>54</v>
      </c>
      <c r="L328" t="s">
        <v>26</v>
      </c>
      <c r="M328">
        <v>103</v>
      </c>
      <c r="N328" t="s">
        <v>55</v>
      </c>
      <c r="O328" t="s">
        <v>743</v>
      </c>
      <c r="P328" t="s">
        <v>721</v>
      </c>
      <c r="Q328">
        <v>34197911213</v>
      </c>
      <c r="R328" s="2" t="str">
        <f t="shared" si="35"/>
        <v>nodejs|A1a|B1d|B2c|C1b</v>
      </c>
      <c r="S328" t="str">
        <f t="shared" si="36"/>
        <v>M</v>
      </c>
      <c r="T328" t="str">
        <f t="shared" si="31"/>
        <v/>
      </c>
      <c r="U328" t="str">
        <f t="shared" si="32"/>
        <v/>
      </c>
      <c r="V328" t="str">
        <f t="shared" si="33"/>
        <v/>
      </c>
      <c r="W328" t="str">
        <f t="shared" si="34"/>
        <v>same</v>
      </c>
    </row>
    <row r="329" spans="1:23" x14ac:dyDescent="0.3">
      <c r="A329" t="s">
        <v>744</v>
      </c>
      <c r="B329" s="1">
        <v>46273.381812175925</v>
      </c>
      <c r="C329" t="s">
        <v>18</v>
      </c>
      <c r="D329" t="s">
        <v>92</v>
      </c>
      <c r="E329" t="s">
        <v>20</v>
      </c>
      <c r="F329" t="s">
        <v>21</v>
      </c>
      <c r="G329" t="s">
        <v>238</v>
      </c>
      <c r="H329" t="s">
        <v>23</v>
      </c>
      <c r="I329" t="s">
        <v>24</v>
      </c>
      <c r="J329">
        <v>100</v>
      </c>
      <c r="K329" t="s">
        <v>718</v>
      </c>
      <c r="L329" t="s">
        <v>26</v>
      </c>
      <c r="M329">
        <v>100</v>
      </c>
      <c r="N329" t="s">
        <v>719</v>
      </c>
      <c r="O329" t="s">
        <v>745</v>
      </c>
      <c r="P329" t="s">
        <v>721</v>
      </c>
      <c r="Q329">
        <v>34197955068</v>
      </c>
      <c r="R329" s="2" t="str">
        <f t="shared" si="35"/>
        <v>nodejs|A1b|B1a|B2a|C1b</v>
      </c>
      <c r="S329" t="str">
        <f t="shared" si="36"/>
        <v>P</v>
      </c>
      <c r="T329" t="str">
        <f t="shared" si="31"/>
        <v/>
      </c>
      <c r="U329" t="str">
        <f t="shared" si="32"/>
        <v/>
      </c>
      <c r="V329" t="str">
        <f t="shared" si="33"/>
        <v/>
      </c>
      <c r="W329" t="str">
        <f t="shared" si="34"/>
        <v/>
      </c>
    </row>
    <row r="330" spans="1:23" x14ac:dyDescent="0.3">
      <c r="A330" t="s">
        <v>746</v>
      </c>
      <c r="B330" s="1">
        <v>46273.382204259258</v>
      </c>
      <c r="C330" t="s">
        <v>18</v>
      </c>
      <c r="D330" t="s">
        <v>92</v>
      </c>
      <c r="E330" t="s">
        <v>20</v>
      </c>
      <c r="F330" t="s">
        <v>34</v>
      </c>
      <c r="G330" t="s">
        <v>238</v>
      </c>
      <c r="H330" t="s">
        <v>35</v>
      </c>
      <c r="I330" t="s">
        <v>24</v>
      </c>
      <c r="J330">
        <v>103</v>
      </c>
      <c r="K330" t="s">
        <v>99</v>
      </c>
      <c r="L330" t="s">
        <v>26</v>
      </c>
      <c r="M330">
        <v>103</v>
      </c>
      <c r="N330" t="s">
        <v>100</v>
      </c>
      <c r="O330" t="s">
        <v>747</v>
      </c>
      <c r="P330" t="s">
        <v>721</v>
      </c>
      <c r="Q330">
        <v>34197998779</v>
      </c>
      <c r="R330" s="2" t="str">
        <f t="shared" si="35"/>
        <v>nodejs|A1b|B1a|B2b|C1b</v>
      </c>
      <c r="S330" t="str">
        <f t="shared" si="36"/>
        <v>M</v>
      </c>
      <c r="T330" t="str">
        <f t="shared" si="31"/>
        <v/>
      </c>
      <c r="U330" t="str">
        <f t="shared" si="32"/>
        <v/>
      </c>
      <c r="V330" t="str">
        <f t="shared" si="33"/>
        <v/>
      </c>
      <c r="W330" t="str">
        <f t="shared" si="34"/>
        <v/>
      </c>
    </row>
    <row r="331" spans="1:23" x14ac:dyDescent="0.3">
      <c r="A331" t="s">
        <v>748</v>
      </c>
      <c r="B331" s="1">
        <v>46273.382595370371</v>
      </c>
      <c r="C331" t="s">
        <v>18</v>
      </c>
      <c r="D331" t="s">
        <v>92</v>
      </c>
      <c r="E331" t="s">
        <v>20</v>
      </c>
      <c r="F331" t="s">
        <v>42</v>
      </c>
      <c r="G331" t="s">
        <v>238</v>
      </c>
      <c r="H331" t="s">
        <v>35</v>
      </c>
      <c r="I331" t="s">
        <v>24</v>
      </c>
      <c r="J331">
        <v>103</v>
      </c>
      <c r="K331" t="s">
        <v>99</v>
      </c>
      <c r="L331" t="s">
        <v>26</v>
      </c>
      <c r="M331">
        <v>103</v>
      </c>
      <c r="N331" t="s">
        <v>100</v>
      </c>
      <c r="O331" t="s">
        <v>749</v>
      </c>
      <c r="P331" t="s">
        <v>721</v>
      </c>
      <c r="Q331">
        <v>34198045664</v>
      </c>
      <c r="R331" s="2" t="str">
        <f t="shared" si="35"/>
        <v>nodejs|A1b|B1a|B2c|C1b</v>
      </c>
      <c r="S331" t="str">
        <f t="shared" si="36"/>
        <v>M</v>
      </c>
      <c r="T331" t="str">
        <f t="shared" si="31"/>
        <v/>
      </c>
      <c r="U331" t="str">
        <f t="shared" si="32"/>
        <v/>
      </c>
      <c r="V331" t="str">
        <f t="shared" si="33"/>
        <v/>
      </c>
      <c r="W331" t="str">
        <f t="shared" si="34"/>
        <v/>
      </c>
    </row>
    <row r="332" spans="1:23" x14ac:dyDescent="0.3">
      <c r="A332" t="s">
        <v>750</v>
      </c>
      <c r="B332" s="1">
        <v>46273.382985162039</v>
      </c>
      <c r="C332" t="s">
        <v>18</v>
      </c>
      <c r="D332" t="s">
        <v>92</v>
      </c>
      <c r="E332" t="s">
        <v>47</v>
      </c>
      <c r="F332" t="s">
        <v>21</v>
      </c>
      <c r="G332" t="s">
        <v>238</v>
      </c>
      <c r="H332" t="s">
        <v>48</v>
      </c>
      <c r="I332" t="s">
        <v>49</v>
      </c>
      <c r="K332" t="s">
        <v>49</v>
      </c>
      <c r="L332" t="s">
        <v>49</v>
      </c>
      <c r="N332" t="s">
        <v>49</v>
      </c>
      <c r="O332" t="s">
        <v>751</v>
      </c>
      <c r="P332" t="s">
        <v>721</v>
      </c>
      <c r="Q332">
        <v>34198090249</v>
      </c>
      <c r="R332" s="2" t="str">
        <f t="shared" si="35"/>
        <v>nodejs|A1b|B1b|B2a|C1b</v>
      </c>
      <c r="S332" t="str">
        <f t="shared" si="36"/>
        <v>E</v>
      </c>
      <c r="T332" t="str">
        <f t="shared" si="31"/>
        <v/>
      </c>
      <c r="U332" t="str">
        <f t="shared" si="32"/>
        <v>same</v>
      </c>
      <c r="V332" t="str">
        <f t="shared" si="33"/>
        <v/>
      </c>
      <c r="W332" t="str">
        <f t="shared" si="34"/>
        <v/>
      </c>
    </row>
    <row r="333" spans="1:23" x14ac:dyDescent="0.3">
      <c r="A333" t="s">
        <v>752</v>
      </c>
      <c r="B333" s="1">
        <v>46273.383373460645</v>
      </c>
      <c r="C333" t="s">
        <v>18</v>
      </c>
      <c r="D333" t="s">
        <v>92</v>
      </c>
      <c r="E333" t="s">
        <v>47</v>
      </c>
      <c r="F333" t="s">
        <v>34</v>
      </c>
      <c r="G333" t="s">
        <v>238</v>
      </c>
      <c r="H333" t="s">
        <v>35</v>
      </c>
      <c r="I333" t="s">
        <v>24</v>
      </c>
      <c r="J333">
        <v>103</v>
      </c>
      <c r="K333" t="s">
        <v>54</v>
      </c>
      <c r="L333" t="s">
        <v>26</v>
      </c>
      <c r="M333">
        <v>103</v>
      </c>
      <c r="N333" t="s">
        <v>55</v>
      </c>
      <c r="O333" t="s">
        <v>753</v>
      </c>
      <c r="P333" t="s">
        <v>721</v>
      </c>
      <c r="Q333">
        <v>34198132471</v>
      </c>
      <c r="R333" s="2" t="str">
        <f t="shared" si="35"/>
        <v>nodejs|A1b|B1b|B2b|C1b</v>
      </c>
      <c r="S333" t="str">
        <f t="shared" si="36"/>
        <v>M</v>
      </c>
      <c r="T333" t="str">
        <f t="shared" si="31"/>
        <v/>
      </c>
      <c r="U333" t="str">
        <f t="shared" si="32"/>
        <v>same</v>
      </c>
      <c r="V333" t="str">
        <f t="shared" si="33"/>
        <v/>
      </c>
      <c r="W333" t="str">
        <f t="shared" si="34"/>
        <v/>
      </c>
    </row>
    <row r="334" spans="1:23" x14ac:dyDescent="0.3">
      <c r="A334" t="s">
        <v>754</v>
      </c>
      <c r="B334" s="1">
        <v>46273.383764652775</v>
      </c>
      <c r="C334" t="s">
        <v>18</v>
      </c>
      <c r="D334" t="s">
        <v>92</v>
      </c>
      <c r="E334" t="s">
        <v>47</v>
      </c>
      <c r="F334" t="s">
        <v>42</v>
      </c>
      <c r="G334" t="s">
        <v>238</v>
      </c>
      <c r="H334" t="s">
        <v>35</v>
      </c>
      <c r="I334" t="s">
        <v>24</v>
      </c>
      <c r="J334">
        <v>103</v>
      </c>
      <c r="K334" t="s">
        <v>54</v>
      </c>
      <c r="L334" t="s">
        <v>26</v>
      </c>
      <c r="M334">
        <v>103</v>
      </c>
      <c r="N334" t="s">
        <v>55</v>
      </c>
      <c r="O334" t="s">
        <v>755</v>
      </c>
      <c r="P334" t="s">
        <v>721</v>
      </c>
      <c r="Q334">
        <v>34198176277</v>
      </c>
      <c r="R334" s="2" t="str">
        <f t="shared" si="35"/>
        <v>nodejs|A1b|B1b|B2c|C1b</v>
      </c>
      <c r="S334" t="str">
        <f t="shared" si="36"/>
        <v>M</v>
      </c>
      <c r="T334" t="str">
        <f t="shared" si="31"/>
        <v/>
      </c>
      <c r="U334" t="str">
        <f t="shared" si="32"/>
        <v>same</v>
      </c>
      <c r="V334" t="str">
        <f t="shared" si="33"/>
        <v/>
      </c>
      <c r="W334" t="str">
        <f t="shared" si="34"/>
        <v/>
      </c>
    </row>
    <row r="335" spans="1:23" x14ac:dyDescent="0.3">
      <c r="A335" t="s">
        <v>756</v>
      </c>
      <c r="B335" s="1">
        <v>46273.384158680557</v>
      </c>
      <c r="C335" t="s">
        <v>18</v>
      </c>
      <c r="D335" t="s">
        <v>92</v>
      </c>
      <c r="E335" t="s">
        <v>64</v>
      </c>
      <c r="F335" t="s">
        <v>21</v>
      </c>
      <c r="G335" t="s">
        <v>238</v>
      </c>
      <c r="H335" t="s">
        <v>48</v>
      </c>
      <c r="I335" t="s">
        <v>49</v>
      </c>
      <c r="K335" t="s">
        <v>49</v>
      </c>
      <c r="L335" t="s">
        <v>49</v>
      </c>
      <c r="N335" t="s">
        <v>49</v>
      </c>
      <c r="O335" t="s">
        <v>757</v>
      </c>
      <c r="P335" t="s">
        <v>721</v>
      </c>
      <c r="Q335">
        <v>34198222764</v>
      </c>
      <c r="R335" s="2" t="str">
        <f t="shared" si="35"/>
        <v>nodejs|A1b|B1c|B2a|C1b</v>
      </c>
      <c r="S335" t="str">
        <f t="shared" si="36"/>
        <v>E</v>
      </c>
      <c r="T335" t="str">
        <f t="shared" si="31"/>
        <v/>
      </c>
      <c r="U335" t="str">
        <f t="shared" si="32"/>
        <v/>
      </c>
      <c r="V335" t="str">
        <f t="shared" si="33"/>
        <v>same</v>
      </c>
      <c r="W335" t="str">
        <f t="shared" si="34"/>
        <v/>
      </c>
    </row>
    <row r="336" spans="1:23" x14ac:dyDescent="0.3">
      <c r="A336" t="s">
        <v>758</v>
      </c>
      <c r="B336" s="1">
        <v>46273.384554143522</v>
      </c>
      <c r="C336" t="s">
        <v>18</v>
      </c>
      <c r="D336" t="s">
        <v>92</v>
      </c>
      <c r="E336" t="s">
        <v>64</v>
      </c>
      <c r="F336" t="s">
        <v>34</v>
      </c>
      <c r="G336" t="s">
        <v>238</v>
      </c>
      <c r="H336" t="s">
        <v>35</v>
      </c>
      <c r="I336" t="s">
        <v>24</v>
      </c>
      <c r="J336">
        <v>103</v>
      </c>
      <c r="K336" t="s">
        <v>69</v>
      </c>
      <c r="L336" t="s">
        <v>26</v>
      </c>
      <c r="M336">
        <v>103</v>
      </c>
      <c r="N336" t="s">
        <v>70</v>
      </c>
      <c r="O336" t="s">
        <v>759</v>
      </c>
      <c r="P336" t="s">
        <v>721</v>
      </c>
      <c r="Q336">
        <v>34198267914</v>
      </c>
      <c r="R336" s="2" t="str">
        <f t="shared" si="35"/>
        <v>nodejs|A1b|B1c|B2b|C1b</v>
      </c>
      <c r="S336" t="str">
        <f t="shared" si="36"/>
        <v>M</v>
      </c>
      <c r="T336" t="str">
        <f t="shared" si="31"/>
        <v/>
      </c>
      <c r="U336" t="str">
        <f t="shared" si="32"/>
        <v/>
      </c>
      <c r="V336" t="str">
        <f t="shared" si="33"/>
        <v>same</v>
      </c>
      <c r="W336" t="str">
        <f t="shared" si="34"/>
        <v/>
      </c>
    </row>
    <row r="337" spans="1:23" x14ac:dyDescent="0.3">
      <c r="A337" t="s">
        <v>760</v>
      </c>
      <c r="B337" s="1">
        <v>46273.384944768521</v>
      </c>
      <c r="C337" t="s">
        <v>18</v>
      </c>
      <c r="D337" t="s">
        <v>92</v>
      </c>
      <c r="E337" t="s">
        <v>64</v>
      </c>
      <c r="F337" t="s">
        <v>42</v>
      </c>
      <c r="G337" t="s">
        <v>238</v>
      </c>
      <c r="H337" t="s">
        <v>35</v>
      </c>
      <c r="I337" t="s">
        <v>24</v>
      </c>
      <c r="J337">
        <v>103</v>
      </c>
      <c r="K337" t="s">
        <v>69</v>
      </c>
      <c r="L337" t="s">
        <v>26</v>
      </c>
      <c r="M337">
        <v>103</v>
      </c>
      <c r="N337" t="s">
        <v>70</v>
      </c>
      <c r="O337" t="s">
        <v>761</v>
      </c>
      <c r="P337" t="s">
        <v>721</v>
      </c>
      <c r="Q337">
        <v>34198313884</v>
      </c>
      <c r="R337" s="2" t="str">
        <f t="shared" si="35"/>
        <v>nodejs|A1b|B1c|B2c|C1b</v>
      </c>
      <c r="S337" t="str">
        <f t="shared" si="36"/>
        <v>M</v>
      </c>
      <c r="T337" t="str">
        <f t="shared" si="31"/>
        <v/>
      </c>
      <c r="U337" t="str">
        <f t="shared" si="32"/>
        <v/>
      </c>
      <c r="V337" t="str">
        <f t="shared" si="33"/>
        <v>same</v>
      </c>
      <c r="W337" t="str">
        <f t="shared" si="34"/>
        <v/>
      </c>
    </row>
    <row r="338" spans="1:23" x14ac:dyDescent="0.3">
      <c r="A338" t="s">
        <v>762</v>
      </c>
      <c r="B338" s="1">
        <v>46273.385333182872</v>
      </c>
      <c r="C338" t="s">
        <v>18</v>
      </c>
      <c r="D338" t="s">
        <v>92</v>
      </c>
      <c r="E338" t="s">
        <v>79</v>
      </c>
      <c r="F338" t="s">
        <v>21</v>
      </c>
      <c r="G338" t="s">
        <v>238</v>
      </c>
      <c r="H338" t="s">
        <v>48</v>
      </c>
      <c r="I338" t="s">
        <v>49</v>
      </c>
      <c r="K338" t="s">
        <v>49</v>
      </c>
      <c r="L338" t="s">
        <v>49</v>
      </c>
      <c r="N338" t="s">
        <v>49</v>
      </c>
      <c r="O338" t="s">
        <v>763</v>
      </c>
      <c r="P338" t="s">
        <v>721</v>
      </c>
      <c r="Q338">
        <v>34198359318</v>
      </c>
      <c r="R338" s="2" t="str">
        <f t="shared" si="35"/>
        <v>nodejs|A1b|B1d|B2a|C1b</v>
      </c>
      <c r="S338" t="str">
        <f t="shared" si="36"/>
        <v>E</v>
      </c>
      <c r="T338" t="str">
        <f t="shared" si="31"/>
        <v/>
      </c>
      <c r="U338" t="str">
        <f t="shared" si="32"/>
        <v/>
      </c>
      <c r="V338" t="str">
        <f t="shared" si="33"/>
        <v/>
      </c>
      <c r="W338" t="str">
        <f t="shared" si="34"/>
        <v/>
      </c>
    </row>
    <row r="339" spans="1:23" x14ac:dyDescent="0.3">
      <c r="A339" t="s">
        <v>764</v>
      </c>
      <c r="B339" s="1">
        <v>46273.385732187497</v>
      </c>
      <c r="C339" t="s">
        <v>18</v>
      </c>
      <c r="D339" t="s">
        <v>92</v>
      </c>
      <c r="E339" t="s">
        <v>79</v>
      </c>
      <c r="F339" t="s">
        <v>34</v>
      </c>
      <c r="G339" t="s">
        <v>238</v>
      </c>
      <c r="H339" t="s">
        <v>35</v>
      </c>
      <c r="I339" t="s">
        <v>24</v>
      </c>
      <c r="J339">
        <v>103</v>
      </c>
      <c r="K339" t="s">
        <v>54</v>
      </c>
      <c r="L339" t="s">
        <v>26</v>
      </c>
      <c r="M339">
        <v>103</v>
      </c>
      <c r="N339" t="s">
        <v>55</v>
      </c>
      <c r="O339" t="s">
        <v>765</v>
      </c>
      <c r="P339" t="s">
        <v>721</v>
      </c>
      <c r="Q339">
        <v>34198405657</v>
      </c>
      <c r="R339" s="2" t="str">
        <f t="shared" si="35"/>
        <v>nodejs|A1b|B1d|B2b|C1b</v>
      </c>
      <c r="S339" t="str">
        <f t="shared" si="36"/>
        <v>M</v>
      </c>
      <c r="T339" t="str">
        <f t="shared" si="31"/>
        <v/>
      </c>
      <c r="U339" t="str">
        <f t="shared" si="32"/>
        <v/>
      </c>
      <c r="V339" t="str">
        <f t="shared" si="33"/>
        <v/>
      </c>
      <c r="W339" t="str">
        <f t="shared" si="34"/>
        <v/>
      </c>
    </row>
    <row r="340" spans="1:23" x14ac:dyDescent="0.3">
      <c r="A340" t="s">
        <v>766</v>
      </c>
      <c r="B340" s="1">
        <v>46273.386120219904</v>
      </c>
      <c r="C340" t="s">
        <v>18</v>
      </c>
      <c r="D340" t="s">
        <v>92</v>
      </c>
      <c r="E340" t="s">
        <v>79</v>
      </c>
      <c r="F340" t="s">
        <v>42</v>
      </c>
      <c r="G340" t="s">
        <v>238</v>
      </c>
      <c r="H340" t="s">
        <v>35</v>
      </c>
      <c r="I340" t="s">
        <v>24</v>
      </c>
      <c r="J340">
        <v>103</v>
      </c>
      <c r="K340" t="s">
        <v>54</v>
      </c>
      <c r="L340" t="s">
        <v>26</v>
      </c>
      <c r="M340">
        <v>103</v>
      </c>
      <c r="N340" t="s">
        <v>55</v>
      </c>
      <c r="O340" t="s">
        <v>767</v>
      </c>
      <c r="P340" t="s">
        <v>721</v>
      </c>
      <c r="Q340">
        <v>34198454543</v>
      </c>
      <c r="R340" s="2" t="str">
        <f t="shared" si="35"/>
        <v>nodejs|A1b|B1d|B2c|C1b</v>
      </c>
      <c r="S340" t="str">
        <f t="shared" si="36"/>
        <v>M</v>
      </c>
      <c r="T340" t="str">
        <f t="shared" si="31"/>
        <v/>
      </c>
      <c r="U340" t="str">
        <f t="shared" si="32"/>
        <v/>
      </c>
      <c r="V340" t="str">
        <f t="shared" si="33"/>
        <v/>
      </c>
      <c r="W340" t="str">
        <f t="shared" si="34"/>
        <v/>
      </c>
    </row>
    <row r="341" spans="1:23" x14ac:dyDescent="0.3">
      <c r="A341" t="s">
        <v>768</v>
      </c>
      <c r="B341" s="1">
        <v>46273.386509027776</v>
      </c>
      <c r="C341" t="s">
        <v>18</v>
      </c>
      <c r="D341" t="s">
        <v>145</v>
      </c>
      <c r="E341" t="s">
        <v>20</v>
      </c>
      <c r="F341" t="s">
        <v>21</v>
      </c>
      <c r="G341" t="s">
        <v>238</v>
      </c>
      <c r="H341" t="s">
        <v>23</v>
      </c>
      <c r="I341" t="s">
        <v>24</v>
      </c>
      <c r="J341">
        <v>100</v>
      </c>
      <c r="K341" t="s">
        <v>718</v>
      </c>
      <c r="L341" t="s">
        <v>26</v>
      </c>
      <c r="M341">
        <v>100</v>
      </c>
      <c r="N341" t="s">
        <v>719</v>
      </c>
      <c r="O341" t="s">
        <v>769</v>
      </c>
      <c r="P341" t="s">
        <v>721</v>
      </c>
      <c r="Q341">
        <v>34198499472</v>
      </c>
      <c r="R341" s="2" t="str">
        <f t="shared" si="35"/>
        <v>nodejs|A2|B1a|B2a|C1b</v>
      </c>
      <c r="S341" t="str">
        <f t="shared" si="36"/>
        <v>P</v>
      </c>
      <c r="T341" t="str">
        <f t="shared" si="31"/>
        <v/>
      </c>
      <c r="U341" t="str">
        <f t="shared" si="32"/>
        <v/>
      </c>
      <c r="V341" t="str">
        <f t="shared" si="33"/>
        <v/>
      </c>
      <c r="W341" t="str">
        <f t="shared" si="34"/>
        <v/>
      </c>
    </row>
    <row r="342" spans="1:23" x14ac:dyDescent="0.3">
      <c r="A342" t="s">
        <v>770</v>
      </c>
      <c r="B342" s="1">
        <v>46273.386902627317</v>
      </c>
      <c r="C342" t="s">
        <v>18</v>
      </c>
      <c r="D342" t="s">
        <v>145</v>
      </c>
      <c r="E342" t="s">
        <v>20</v>
      </c>
      <c r="F342" t="s">
        <v>34</v>
      </c>
      <c r="G342" t="s">
        <v>238</v>
      </c>
      <c r="H342" t="s">
        <v>23</v>
      </c>
      <c r="I342" t="s">
        <v>24</v>
      </c>
      <c r="J342">
        <v>102</v>
      </c>
      <c r="K342" t="s">
        <v>771</v>
      </c>
      <c r="L342" t="s">
        <v>26</v>
      </c>
      <c r="M342">
        <v>102</v>
      </c>
      <c r="N342" t="s">
        <v>772</v>
      </c>
      <c r="O342" t="s">
        <v>773</v>
      </c>
      <c r="P342" t="s">
        <v>721</v>
      </c>
      <c r="Q342">
        <v>34198544276</v>
      </c>
      <c r="R342" s="2" t="str">
        <f t="shared" si="35"/>
        <v>nodejs|A2|B1a|B2b|C1b</v>
      </c>
      <c r="S342" t="str">
        <f t="shared" si="36"/>
        <v>P</v>
      </c>
      <c r="T342" t="str">
        <f t="shared" si="31"/>
        <v/>
      </c>
      <c r="U342" t="str">
        <f t="shared" si="32"/>
        <v/>
      </c>
      <c r="V342" t="str">
        <f t="shared" si="33"/>
        <v/>
      </c>
      <c r="W342" t="str">
        <f t="shared" si="34"/>
        <v/>
      </c>
    </row>
    <row r="343" spans="1:23" x14ac:dyDescent="0.3">
      <c r="A343" t="s">
        <v>774</v>
      </c>
      <c r="B343" s="1">
        <v>46273.387290671293</v>
      </c>
      <c r="C343" t="s">
        <v>18</v>
      </c>
      <c r="D343" t="s">
        <v>145</v>
      </c>
      <c r="E343" t="s">
        <v>20</v>
      </c>
      <c r="F343" t="s">
        <v>42</v>
      </c>
      <c r="G343" t="s">
        <v>238</v>
      </c>
      <c r="H343" t="s">
        <v>23</v>
      </c>
      <c r="I343" t="s">
        <v>24</v>
      </c>
      <c r="J343">
        <v>102</v>
      </c>
      <c r="K343" t="s">
        <v>771</v>
      </c>
      <c r="L343" t="s">
        <v>26</v>
      </c>
      <c r="M343">
        <v>102</v>
      </c>
      <c r="N343" t="s">
        <v>772</v>
      </c>
      <c r="O343" t="s">
        <v>775</v>
      </c>
      <c r="P343" t="s">
        <v>721</v>
      </c>
      <c r="Q343">
        <v>34198589670</v>
      </c>
      <c r="R343" s="2" t="str">
        <f t="shared" si="35"/>
        <v>nodejs|A2|B1a|B2c|C1b</v>
      </c>
      <c r="S343" t="str">
        <f t="shared" si="36"/>
        <v>P</v>
      </c>
      <c r="T343" t="str">
        <f t="shared" si="31"/>
        <v/>
      </c>
      <c r="U343" t="str">
        <f t="shared" si="32"/>
        <v/>
      </c>
      <c r="V343" t="str">
        <f t="shared" si="33"/>
        <v/>
      </c>
      <c r="W343" t="str">
        <f t="shared" si="34"/>
        <v/>
      </c>
    </row>
    <row r="344" spans="1:23" x14ac:dyDescent="0.3">
      <c r="A344" t="s">
        <v>776</v>
      </c>
      <c r="B344" s="1">
        <v>46273.387686805552</v>
      </c>
      <c r="C344" t="s">
        <v>18</v>
      </c>
      <c r="D344" t="s">
        <v>145</v>
      </c>
      <c r="E344" t="s">
        <v>47</v>
      </c>
      <c r="F344" t="s">
        <v>21</v>
      </c>
      <c r="G344" t="s">
        <v>238</v>
      </c>
      <c r="H344" t="s">
        <v>48</v>
      </c>
      <c r="I344" t="s">
        <v>49</v>
      </c>
      <c r="K344" t="s">
        <v>49</v>
      </c>
      <c r="L344" t="s">
        <v>49</v>
      </c>
      <c r="N344" t="s">
        <v>49</v>
      </c>
      <c r="O344" t="s">
        <v>777</v>
      </c>
      <c r="P344" t="s">
        <v>721</v>
      </c>
      <c r="Q344">
        <v>34198633501</v>
      </c>
      <c r="R344" s="2" t="str">
        <f t="shared" si="35"/>
        <v>nodejs|A2|B1b|B2a|C1b</v>
      </c>
      <c r="S344" t="str">
        <f t="shared" si="36"/>
        <v>E</v>
      </c>
      <c r="T344" t="str">
        <f t="shared" si="31"/>
        <v/>
      </c>
      <c r="U344" t="str">
        <f t="shared" si="32"/>
        <v>same</v>
      </c>
      <c r="V344" t="str">
        <f t="shared" si="33"/>
        <v/>
      </c>
      <c r="W344" t="str">
        <f t="shared" si="34"/>
        <v/>
      </c>
    </row>
    <row r="345" spans="1:23" x14ac:dyDescent="0.3">
      <c r="A345" t="s">
        <v>778</v>
      </c>
      <c r="B345" s="1">
        <v>46273.388081562502</v>
      </c>
      <c r="C345" t="s">
        <v>18</v>
      </c>
      <c r="D345" t="s">
        <v>145</v>
      </c>
      <c r="E345" t="s">
        <v>47</v>
      </c>
      <c r="F345" t="s">
        <v>34</v>
      </c>
      <c r="G345" t="s">
        <v>238</v>
      </c>
      <c r="H345" t="s">
        <v>35</v>
      </c>
      <c r="I345" t="s">
        <v>24</v>
      </c>
      <c r="J345">
        <v>103</v>
      </c>
      <c r="K345" t="s">
        <v>54</v>
      </c>
      <c r="L345" t="s">
        <v>26</v>
      </c>
      <c r="M345">
        <v>103</v>
      </c>
      <c r="N345" t="s">
        <v>55</v>
      </c>
      <c r="O345" t="s">
        <v>779</v>
      </c>
      <c r="P345" t="s">
        <v>721</v>
      </c>
      <c r="Q345">
        <v>34198678953</v>
      </c>
      <c r="R345" s="2" t="str">
        <f t="shared" si="35"/>
        <v>nodejs|A2|B1b|B2b|C1b</v>
      </c>
      <c r="S345" t="str">
        <f t="shared" si="36"/>
        <v>M</v>
      </c>
      <c r="T345" t="str">
        <f t="shared" si="31"/>
        <v/>
      </c>
      <c r="U345" t="str">
        <f t="shared" si="32"/>
        <v>same</v>
      </c>
      <c r="V345" t="str">
        <f t="shared" si="33"/>
        <v/>
      </c>
      <c r="W345" t="str">
        <f t="shared" si="34"/>
        <v/>
      </c>
    </row>
    <row r="346" spans="1:23" x14ac:dyDescent="0.3">
      <c r="A346" t="s">
        <v>780</v>
      </c>
      <c r="B346" s="1">
        <v>46273.388471331018</v>
      </c>
      <c r="C346" t="s">
        <v>18</v>
      </c>
      <c r="D346" t="s">
        <v>145</v>
      </c>
      <c r="E346" t="s">
        <v>47</v>
      </c>
      <c r="F346" t="s">
        <v>42</v>
      </c>
      <c r="G346" t="s">
        <v>238</v>
      </c>
      <c r="H346" t="s">
        <v>35</v>
      </c>
      <c r="I346" t="s">
        <v>24</v>
      </c>
      <c r="J346">
        <v>103</v>
      </c>
      <c r="K346" t="s">
        <v>54</v>
      </c>
      <c r="L346" t="s">
        <v>26</v>
      </c>
      <c r="M346">
        <v>103</v>
      </c>
      <c r="N346" t="s">
        <v>55</v>
      </c>
      <c r="O346" t="s">
        <v>781</v>
      </c>
      <c r="P346" t="s">
        <v>721</v>
      </c>
      <c r="Q346">
        <v>34198724793</v>
      </c>
      <c r="R346" s="2" t="str">
        <f t="shared" si="35"/>
        <v>nodejs|A2|B1b|B2c|C1b</v>
      </c>
      <c r="S346" t="str">
        <f t="shared" si="36"/>
        <v>M</v>
      </c>
      <c r="T346" t="str">
        <f t="shared" si="31"/>
        <v/>
      </c>
      <c r="U346" t="str">
        <f t="shared" si="32"/>
        <v>same</v>
      </c>
      <c r="V346" t="str">
        <f t="shared" si="33"/>
        <v/>
      </c>
      <c r="W346" t="str">
        <f t="shared" si="34"/>
        <v/>
      </c>
    </row>
    <row r="347" spans="1:23" x14ac:dyDescent="0.3">
      <c r="A347" t="s">
        <v>782</v>
      </c>
      <c r="B347" s="1">
        <v>46273.388866886577</v>
      </c>
      <c r="C347" t="s">
        <v>18</v>
      </c>
      <c r="D347" t="s">
        <v>145</v>
      </c>
      <c r="E347" t="s">
        <v>64</v>
      </c>
      <c r="F347" t="s">
        <v>21</v>
      </c>
      <c r="G347" t="s">
        <v>238</v>
      </c>
      <c r="H347" t="s">
        <v>48</v>
      </c>
      <c r="I347" t="s">
        <v>49</v>
      </c>
      <c r="K347" t="s">
        <v>49</v>
      </c>
      <c r="L347" t="s">
        <v>49</v>
      </c>
      <c r="N347" t="s">
        <v>49</v>
      </c>
      <c r="O347" t="s">
        <v>783</v>
      </c>
      <c r="P347" t="s">
        <v>721</v>
      </c>
      <c r="Q347">
        <v>34198769113</v>
      </c>
      <c r="R347" s="2" t="str">
        <f t="shared" si="35"/>
        <v>nodejs|A2|B1c|B2a|C1b</v>
      </c>
      <c r="S347" t="str">
        <f t="shared" si="36"/>
        <v>E</v>
      </c>
      <c r="T347" t="str">
        <f t="shared" si="31"/>
        <v/>
      </c>
      <c r="U347" t="str">
        <f t="shared" si="32"/>
        <v/>
      </c>
      <c r="V347" t="str">
        <f t="shared" si="33"/>
        <v>same</v>
      </c>
      <c r="W347" t="str">
        <f t="shared" si="34"/>
        <v/>
      </c>
    </row>
    <row r="348" spans="1:23" x14ac:dyDescent="0.3">
      <c r="A348" t="s">
        <v>784</v>
      </c>
      <c r="B348" s="1">
        <v>46273.38925821759</v>
      </c>
      <c r="C348" t="s">
        <v>18</v>
      </c>
      <c r="D348" t="s">
        <v>145</v>
      </c>
      <c r="E348" t="s">
        <v>64</v>
      </c>
      <c r="F348" t="s">
        <v>34</v>
      </c>
      <c r="G348" t="s">
        <v>238</v>
      </c>
      <c r="H348" t="s">
        <v>35</v>
      </c>
      <c r="I348" t="s">
        <v>24</v>
      </c>
      <c r="J348">
        <v>103</v>
      </c>
      <c r="K348" t="s">
        <v>69</v>
      </c>
      <c r="L348" t="s">
        <v>26</v>
      </c>
      <c r="M348">
        <v>103</v>
      </c>
      <c r="N348" t="s">
        <v>70</v>
      </c>
      <c r="O348" t="s">
        <v>785</v>
      </c>
      <c r="P348" t="s">
        <v>721</v>
      </c>
      <c r="Q348">
        <v>34198815898</v>
      </c>
      <c r="R348" s="2" t="str">
        <f t="shared" si="35"/>
        <v>nodejs|A2|B1c|B2b|C1b</v>
      </c>
      <c r="S348" t="str">
        <f t="shared" si="36"/>
        <v>M</v>
      </c>
      <c r="T348" t="str">
        <f t="shared" si="31"/>
        <v/>
      </c>
      <c r="U348" t="str">
        <f t="shared" si="32"/>
        <v/>
      </c>
      <c r="V348" t="str">
        <f t="shared" si="33"/>
        <v>same</v>
      </c>
      <c r="W348" t="str">
        <f t="shared" si="34"/>
        <v/>
      </c>
    </row>
    <row r="349" spans="1:23" x14ac:dyDescent="0.3">
      <c r="A349" t="s">
        <v>786</v>
      </c>
      <c r="B349" s="1">
        <v>46273.389651412035</v>
      </c>
      <c r="C349" t="s">
        <v>18</v>
      </c>
      <c r="D349" t="s">
        <v>145</v>
      </c>
      <c r="E349" t="s">
        <v>64</v>
      </c>
      <c r="F349" t="s">
        <v>42</v>
      </c>
      <c r="G349" t="s">
        <v>238</v>
      </c>
      <c r="H349" t="s">
        <v>35</v>
      </c>
      <c r="I349" t="s">
        <v>24</v>
      </c>
      <c r="J349">
        <v>103</v>
      </c>
      <c r="K349" t="s">
        <v>69</v>
      </c>
      <c r="L349" t="s">
        <v>26</v>
      </c>
      <c r="M349">
        <v>103</v>
      </c>
      <c r="N349" t="s">
        <v>70</v>
      </c>
      <c r="O349" t="s">
        <v>787</v>
      </c>
      <c r="P349" t="s">
        <v>721</v>
      </c>
      <c r="Q349">
        <v>34198861804</v>
      </c>
      <c r="R349" s="2" t="str">
        <f t="shared" si="35"/>
        <v>nodejs|A2|B1c|B2c|C1b</v>
      </c>
      <c r="S349" t="str">
        <f t="shared" si="36"/>
        <v>M</v>
      </c>
      <c r="T349" t="str">
        <f t="shared" si="31"/>
        <v/>
      </c>
      <c r="U349" t="str">
        <f t="shared" si="32"/>
        <v/>
      </c>
      <c r="V349" t="str">
        <f t="shared" si="33"/>
        <v>same</v>
      </c>
      <c r="W349" t="str">
        <f t="shared" si="34"/>
        <v/>
      </c>
    </row>
    <row r="350" spans="1:23" x14ac:dyDescent="0.3">
      <c r="A350" t="s">
        <v>788</v>
      </c>
      <c r="B350" s="1">
        <v>46273.390048912035</v>
      </c>
      <c r="C350" t="s">
        <v>18</v>
      </c>
      <c r="D350" t="s">
        <v>145</v>
      </c>
      <c r="E350" t="s">
        <v>79</v>
      </c>
      <c r="F350" t="s">
        <v>21</v>
      </c>
      <c r="G350" t="s">
        <v>238</v>
      </c>
      <c r="H350" t="s">
        <v>48</v>
      </c>
      <c r="I350" t="s">
        <v>49</v>
      </c>
      <c r="K350" t="s">
        <v>49</v>
      </c>
      <c r="L350" t="s">
        <v>49</v>
      </c>
      <c r="N350" t="s">
        <v>49</v>
      </c>
      <c r="O350" t="s">
        <v>789</v>
      </c>
      <c r="P350" t="s">
        <v>721</v>
      </c>
      <c r="Q350">
        <v>34198909493</v>
      </c>
      <c r="R350" s="2" t="str">
        <f t="shared" si="35"/>
        <v>nodejs|A2|B1d|B2a|C1b</v>
      </c>
      <c r="S350" t="str">
        <f t="shared" si="36"/>
        <v>E</v>
      </c>
      <c r="T350" t="str">
        <f t="shared" si="31"/>
        <v/>
      </c>
      <c r="U350" t="str">
        <f t="shared" si="32"/>
        <v/>
      </c>
      <c r="V350" t="str">
        <f t="shared" si="33"/>
        <v/>
      </c>
      <c r="W350" t="str">
        <f t="shared" si="34"/>
        <v/>
      </c>
    </row>
    <row r="351" spans="1:23" x14ac:dyDescent="0.3">
      <c r="A351" t="s">
        <v>790</v>
      </c>
      <c r="B351" s="1">
        <v>46273.390436539354</v>
      </c>
      <c r="C351" t="s">
        <v>18</v>
      </c>
      <c r="D351" t="s">
        <v>145</v>
      </c>
      <c r="E351" t="s">
        <v>79</v>
      </c>
      <c r="F351" t="s">
        <v>34</v>
      </c>
      <c r="G351" t="s">
        <v>238</v>
      </c>
      <c r="H351" t="s">
        <v>35</v>
      </c>
      <c r="I351" t="s">
        <v>24</v>
      </c>
      <c r="J351">
        <v>103</v>
      </c>
      <c r="K351" t="s">
        <v>54</v>
      </c>
      <c r="L351" t="s">
        <v>26</v>
      </c>
      <c r="M351">
        <v>103</v>
      </c>
      <c r="N351" t="s">
        <v>55</v>
      </c>
      <c r="O351" t="s">
        <v>791</v>
      </c>
      <c r="P351" t="s">
        <v>721</v>
      </c>
      <c r="Q351">
        <v>34198953281</v>
      </c>
      <c r="R351" s="2" t="str">
        <f t="shared" si="35"/>
        <v>nodejs|A2|B1d|B2b|C1b</v>
      </c>
      <c r="S351" t="str">
        <f t="shared" si="36"/>
        <v>M</v>
      </c>
      <c r="T351" t="str">
        <f t="shared" si="31"/>
        <v/>
      </c>
      <c r="U351" t="str">
        <f t="shared" si="32"/>
        <v/>
      </c>
      <c r="V351" t="str">
        <f t="shared" si="33"/>
        <v/>
      </c>
      <c r="W351" t="str">
        <f t="shared" si="34"/>
        <v/>
      </c>
    </row>
    <row r="352" spans="1:23" x14ac:dyDescent="0.3">
      <c r="A352" t="s">
        <v>792</v>
      </c>
      <c r="B352" s="1">
        <v>46273.39083478009</v>
      </c>
      <c r="C352" t="s">
        <v>18</v>
      </c>
      <c r="D352" t="s">
        <v>145</v>
      </c>
      <c r="E352" t="s">
        <v>79</v>
      </c>
      <c r="F352" t="s">
        <v>42</v>
      </c>
      <c r="G352" t="s">
        <v>238</v>
      </c>
      <c r="H352" t="s">
        <v>35</v>
      </c>
      <c r="I352" t="s">
        <v>24</v>
      </c>
      <c r="J352">
        <v>103</v>
      </c>
      <c r="K352" t="s">
        <v>54</v>
      </c>
      <c r="L352" t="s">
        <v>26</v>
      </c>
      <c r="M352">
        <v>103</v>
      </c>
      <c r="N352" t="s">
        <v>55</v>
      </c>
      <c r="O352" t="s">
        <v>793</v>
      </c>
      <c r="P352" t="s">
        <v>721</v>
      </c>
      <c r="Q352">
        <v>34198999916</v>
      </c>
      <c r="R352" s="2" t="str">
        <f t="shared" si="35"/>
        <v>nodejs|A2|B1d|B2c|C1b</v>
      </c>
      <c r="S352" t="str">
        <f t="shared" si="36"/>
        <v>M</v>
      </c>
      <c r="T352" t="str">
        <f t="shared" si="31"/>
        <v/>
      </c>
      <c r="U352" t="str">
        <f t="shared" si="32"/>
        <v/>
      </c>
      <c r="V352" t="str">
        <f t="shared" si="33"/>
        <v/>
      </c>
      <c r="W352" t="str">
        <f t="shared" si="34"/>
        <v/>
      </c>
    </row>
    <row r="353" spans="1:23" x14ac:dyDescent="0.3">
      <c r="A353" t="s">
        <v>794</v>
      </c>
      <c r="B353" s="1">
        <v>46273.391230185189</v>
      </c>
      <c r="C353" t="s">
        <v>18</v>
      </c>
      <c r="D353" t="s">
        <v>194</v>
      </c>
      <c r="E353" t="s">
        <v>20</v>
      </c>
      <c r="F353" t="s">
        <v>21</v>
      </c>
      <c r="G353" t="s">
        <v>238</v>
      </c>
      <c r="H353" t="s">
        <v>23</v>
      </c>
      <c r="I353" t="s">
        <v>24</v>
      </c>
      <c r="J353">
        <v>100</v>
      </c>
      <c r="K353" t="s">
        <v>718</v>
      </c>
      <c r="L353" t="s">
        <v>26</v>
      </c>
      <c r="M353">
        <v>100</v>
      </c>
      <c r="N353" t="s">
        <v>719</v>
      </c>
      <c r="O353" t="s">
        <v>795</v>
      </c>
      <c r="P353" t="s">
        <v>721</v>
      </c>
      <c r="Q353">
        <v>34199046919</v>
      </c>
      <c r="R353" s="2" t="str">
        <f t="shared" si="35"/>
        <v>nodejs|A3|B1a|B2a|C1b</v>
      </c>
      <c r="S353" t="str">
        <f t="shared" si="36"/>
        <v>P</v>
      </c>
      <c r="T353" t="str">
        <f t="shared" si="31"/>
        <v/>
      </c>
      <c r="U353" t="str">
        <f t="shared" si="32"/>
        <v/>
      </c>
      <c r="V353" t="str">
        <f t="shared" si="33"/>
        <v/>
      </c>
      <c r="W353" t="str">
        <f t="shared" si="34"/>
        <v/>
      </c>
    </row>
    <row r="354" spans="1:23" x14ac:dyDescent="0.3">
      <c r="A354" t="s">
        <v>796</v>
      </c>
      <c r="B354" s="1">
        <v>46273.391622337964</v>
      </c>
      <c r="C354" t="s">
        <v>18</v>
      </c>
      <c r="D354" t="s">
        <v>194</v>
      </c>
      <c r="E354" t="s">
        <v>20</v>
      </c>
      <c r="F354" t="s">
        <v>34</v>
      </c>
      <c r="G354" t="s">
        <v>238</v>
      </c>
      <c r="H354" t="s">
        <v>23</v>
      </c>
      <c r="I354" t="s">
        <v>24</v>
      </c>
      <c r="J354">
        <v>102</v>
      </c>
      <c r="K354" t="s">
        <v>771</v>
      </c>
      <c r="L354" t="s">
        <v>26</v>
      </c>
      <c r="M354">
        <v>102</v>
      </c>
      <c r="N354" t="s">
        <v>772</v>
      </c>
      <c r="O354" t="s">
        <v>797</v>
      </c>
      <c r="P354" t="s">
        <v>721</v>
      </c>
      <c r="Q354">
        <v>34199096741</v>
      </c>
      <c r="R354" s="2" t="str">
        <f t="shared" si="35"/>
        <v>nodejs|A3|B1a|B2b|C1b</v>
      </c>
      <c r="S354" t="str">
        <f t="shared" si="36"/>
        <v>P</v>
      </c>
      <c r="T354" t="str">
        <f t="shared" si="31"/>
        <v/>
      </c>
      <c r="U354" t="str">
        <f t="shared" si="32"/>
        <v/>
      </c>
      <c r="V354" t="str">
        <f t="shared" si="33"/>
        <v/>
      </c>
      <c r="W354" t="str">
        <f t="shared" si="34"/>
        <v/>
      </c>
    </row>
    <row r="355" spans="1:23" x14ac:dyDescent="0.3">
      <c r="A355" t="s">
        <v>798</v>
      </c>
      <c r="B355" s="1">
        <v>46273.392018796294</v>
      </c>
      <c r="C355" t="s">
        <v>18</v>
      </c>
      <c r="D355" t="s">
        <v>194</v>
      </c>
      <c r="E355" t="s">
        <v>20</v>
      </c>
      <c r="F355" t="s">
        <v>42</v>
      </c>
      <c r="G355" t="s">
        <v>238</v>
      </c>
      <c r="H355" t="s">
        <v>23</v>
      </c>
      <c r="I355" t="s">
        <v>24</v>
      </c>
      <c r="J355">
        <v>102</v>
      </c>
      <c r="K355" t="s">
        <v>771</v>
      </c>
      <c r="L355" t="s">
        <v>26</v>
      </c>
      <c r="M355">
        <v>102</v>
      </c>
      <c r="N355" t="s">
        <v>772</v>
      </c>
      <c r="O355" t="s">
        <v>799</v>
      </c>
      <c r="P355" t="s">
        <v>721</v>
      </c>
      <c r="Q355">
        <v>34199145000</v>
      </c>
      <c r="R355" s="2" t="str">
        <f t="shared" si="35"/>
        <v>nodejs|A3|B1a|B2c|C1b</v>
      </c>
      <c r="S355" t="str">
        <f t="shared" si="36"/>
        <v>P</v>
      </c>
      <c r="T355" t="str">
        <f t="shared" si="31"/>
        <v/>
      </c>
      <c r="U355" t="str">
        <f t="shared" si="32"/>
        <v/>
      </c>
      <c r="V355" t="str">
        <f t="shared" si="33"/>
        <v/>
      </c>
      <c r="W355" t="str">
        <f t="shared" si="34"/>
        <v/>
      </c>
    </row>
    <row r="356" spans="1:23" x14ac:dyDescent="0.3">
      <c r="A356" t="s">
        <v>800</v>
      </c>
      <c r="B356" s="1">
        <v>46273.392405879633</v>
      </c>
      <c r="C356" t="s">
        <v>18</v>
      </c>
      <c r="D356" t="s">
        <v>194</v>
      </c>
      <c r="E356" t="s">
        <v>47</v>
      </c>
      <c r="F356" t="s">
        <v>21</v>
      </c>
      <c r="G356" t="s">
        <v>238</v>
      </c>
      <c r="H356" t="s">
        <v>48</v>
      </c>
      <c r="I356" t="s">
        <v>49</v>
      </c>
      <c r="K356" t="s">
        <v>49</v>
      </c>
      <c r="L356" t="s">
        <v>49</v>
      </c>
      <c r="N356" t="s">
        <v>49</v>
      </c>
      <c r="O356" t="s">
        <v>801</v>
      </c>
      <c r="P356" t="s">
        <v>721</v>
      </c>
      <c r="Q356">
        <v>34199194494</v>
      </c>
      <c r="R356" s="2" t="str">
        <f t="shared" si="35"/>
        <v>nodejs|A3|B1b|B2a|C1b</v>
      </c>
      <c r="S356" t="str">
        <f t="shared" si="36"/>
        <v>E</v>
      </c>
      <c r="T356" t="str">
        <f t="shared" si="31"/>
        <v/>
      </c>
      <c r="U356" t="str">
        <f t="shared" si="32"/>
        <v>same</v>
      </c>
      <c r="V356" t="str">
        <f t="shared" si="33"/>
        <v/>
      </c>
      <c r="W356" t="str">
        <f t="shared" si="34"/>
        <v/>
      </c>
    </row>
    <row r="357" spans="1:23" x14ac:dyDescent="0.3">
      <c r="A357" t="s">
        <v>802</v>
      </c>
      <c r="B357" s="1">
        <v>46273.392793043982</v>
      </c>
      <c r="C357" t="s">
        <v>18</v>
      </c>
      <c r="D357" t="s">
        <v>194</v>
      </c>
      <c r="E357" t="s">
        <v>47</v>
      </c>
      <c r="F357" t="s">
        <v>34</v>
      </c>
      <c r="G357" t="s">
        <v>238</v>
      </c>
      <c r="H357" t="s">
        <v>35</v>
      </c>
      <c r="I357" t="s">
        <v>24</v>
      </c>
      <c r="J357">
        <v>103</v>
      </c>
      <c r="K357" t="s">
        <v>54</v>
      </c>
      <c r="L357" t="s">
        <v>26</v>
      </c>
      <c r="M357">
        <v>103</v>
      </c>
      <c r="N357" t="s">
        <v>55</v>
      </c>
      <c r="O357" t="s">
        <v>803</v>
      </c>
      <c r="P357" t="s">
        <v>721</v>
      </c>
      <c r="Q357">
        <v>34199241018</v>
      </c>
      <c r="R357" s="2" t="str">
        <f t="shared" si="35"/>
        <v>nodejs|A3|B1b|B2b|C1b</v>
      </c>
      <c r="S357" t="str">
        <f t="shared" si="36"/>
        <v>M</v>
      </c>
      <c r="T357" t="str">
        <f t="shared" si="31"/>
        <v/>
      </c>
      <c r="U357" t="str">
        <f t="shared" si="32"/>
        <v>same</v>
      </c>
      <c r="V357" t="str">
        <f t="shared" si="33"/>
        <v/>
      </c>
      <c r="W357" t="str">
        <f t="shared" si="34"/>
        <v/>
      </c>
    </row>
    <row r="358" spans="1:23" x14ac:dyDescent="0.3">
      <c r="A358" t="s">
        <v>804</v>
      </c>
      <c r="B358" s="1">
        <v>46273.393184675922</v>
      </c>
      <c r="C358" t="s">
        <v>18</v>
      </c>
      <c r="D358" t="s">
        <v>194</v>
      </c>
      <c r="E358" t="s">
        <v>47</v>
      </c>
      <c r="F358" t="s">
        <v>42</v>
      </c>
      <c r="G358" t="s">
        <v>238</v>
      </c>
      <c r="H358" t="s">
        <v>35</v>
      </c>
      <c r="I358" t="s">
        <v>24</v>
      </c>
      <c r="J358">
        <v>103</v>
      </c>
      <c r="K358" t="s">
        <v>54</v>
      </c>
      <c r="L358" t="s">
        <v>26</v>
      </c>
      <c r="M358">
        <v>103</v>
      </c>
      <c r="N358" t="s">
        <v>55</v>
      </c>
      <c r="O358" t="s">
        <v>805</v>
      </c>
      <c r="P358" t="s">
        <v>721</v>
      </c>
      <c r="Q358">
        <v>34199287252</v>
      </c>
      <c r="R358" s="2" t="str">
        <f t="shared" si="35"/>
        <v>nodejs|A3|B1b|B2c|C1b</v>
      </c>
      <c r="S358" t="str">
        <f t="shared" si="36"/>
        <v>M</v>
      </c>
      <c r="T358" t="str">
        <f t="shared" si="31"/>
        <v/>
      </c>
      <c r="U358" t="str">
        <f t="shared" si="32"/>
        <v>same</v>
      </c>
      <c r="V358" t="str">
        <f t="shared" si="33"/>
        <v/>
      </c>
      <c r="W358" t="str">
        <f t="shared" si="34"/>
        <v/>
      </c>
    </row>
    <row r="359" spans="1:23" x14ac:dyDescent="0.3">
      <c r="A359" t="s">
        <v>806</v>
      </c>
      <c r="B359" s="1">
        <v>46273.393576400464</v>
      </c>
      <c r="C359" t="s">
        <v>18</v>
      </c>
      <c r="D359" t="s">
        <v>194</v>
      </c>
      <c r="E359" t="s">
        <v>79</v>
      </c>
      <c r="F359" t="s">
        <v>21</v>
      </c>
      <c r="G359" t="s">
        <v>238</v>
      </c>
      <c r="H359" t="s">
        <v>48</v>
      </c>
      <c r="I359" t="s">
        <v>49</v>
      </c>
      <c r="K359" t="s">
        <v>49</v>
      </c>
      <c r="L359" t="s">
        <v>49</v>
      </c>
      <c r="N359" t="s">
        <v>49</v>
      </c>
      <c r="O359" t="s">
        <v>807</v>
      </c>
      <c r="P359" t="s">
        <v>721</v>
      </c>
      <c r="Q359">
        <v>34199333188</v>
      </c>
      <c r="R359" s="2" t="str">
        <f t="shared" si="35"/>
        <v>nodejs|A3|B1d|B2a|C1b</v>
      </c>
      <c r="S359" t="str">
        <f t="shared" si="36"/>
        <v>E</v>
      </c>
      <c r="T359" t="str">
        <f t="shared" si="31"/>
        <v/>
      </c>
      <c r="U359" t="str">
        <f t="shared" si="32"/>
        <v/>
      </c>
      <c r="V359" t="str">
        <f t="shared" si="33"/>
        <v/>
      </c>
      <c r="W359" t="str">
        <f t="shared" si="34"/>
        <v/>
      </c>
    </row>
    <row r="360" spans="1:23" x14ac:dyDescent="0.3">
      <c r="A360" t="s">
        <v>808</v>
      </c>
      <c r="B360" s="1">
        <v>46273.393965196759</v>
      </c>
      <c r="C360" t="s">
        <v>18</v>
      </c>
      <c r="D360" t="s">
        <v>194</v>
      </c>
      <c r="E360" t="s">
        <v>79</v>
      </c>
      <c r="F360" t="s">
        <v>34</v>
      </c>
      <c r="G360" t="s">
        <v>238</v>
      </c>
      <c r="H360" t="s">
        <v>35</v>
      </c>
      <c r="I360" t="s">
        <v>24</v>
      </c>
      <c r="J360">
        <v>103</v>
      </c>
      <c r="K360" t="s">
        <v>54</v>
      </c>
      <c r="L360" t="s">
        <v>26</v>
      </c>
      <c r="M360">
        <v>103</v>
      </c>
      <c r="N360" t="s">
        <v>55</v>
      </c>
      <c r="O360" t="s">
        <v>809</v>
      </c>
      <c r="P360" t="s">
        <v>721</v>
      </c>
      <c r="Q360">
        <v>34199379573</v>
      </c>
      <c r="R360" s="2" t="str">
        <f t="shared" si="35"/>
        <v>nodejs|A3|B1d|B2b|C1b</v>
      </c>
      <c r="S360" t="str">
        <f t="shared" si="36"/>
        <v>M</v>
      </c>
      <c r="T360" t="str">
        <f t="shared" si="31"/>
        <v/>
      </c>
      <c r="U360" t="str">
        <f t="shared" si="32"/>
        <v/>
      </c>
      <c r="V360" t="str">
        <f t="shared" si="33"/>
        <v/>
      </c>
      <c r="W360" t="str">
        <f t="shared" si="34"/>
        <v/>
      </c>
    </row>
    <row r="361" spans="1:23" x14ac:dyDescent="0.3">
      <c r="A361" t="s">
        <v>810</v>
      </c>
      <c r="B361" s="1">
        <v>46273.394365983797</v>
      </c>
      <c r="C361" t="s">
        <v>18</v>
      </c>
      <c r="D361" t="s">
        <v>194</v>
      </c>
      <c r="E361" t="s">
        <v>79</v>
      </c>
      <c r="F361" t="s">
        <v>42</v>
      </c>
      <c r="G361" t="s">
        <v>238</v>
      </c>
      <c r="H361" t="s">
        <v>35</v>
      </c>
      <c r="I361" t="s">
        <v>24</v>
      </c>
      <c r="J361">
        <v>103</v>
      </c>
      <c r="K361" t="s">
        <v>54</v>
      </c>
      <c r="L361" t="s">
        <v>26</v>
      </c>
      <c r="M361">
        <v>103</v>
      </c>
      <c r="N361" t="s">
        <v>55</v>
      </c>
      <c r="O361" t="s">
        <v>811</v>
      </c>
      <c r="P361" t="s">
        <v>721</v>
      </c>
      <c r="Q361">
        <v>34199425736</v>
      </c>
      <c r="R361" s="2" t="str">
        <f t="shared" si="35"/>
        <v>nodejs|A3|B1d|B2c|C1b</v>
      </c>
      <c r="S361" t="str">
        <f t="shared" si="36"/>
        <v>M</v>
      </c>
      <c r="T361" t="str">
        <f t="shared" si="31"/>
        <v/>
      </c>
      <c r="U361" t="str">
        <f t="shared" si="32"/>
        <v/>
      </c>
      <c r="V361" t="str">
        <f t="shared" si="33"/>
        <v/>
      </c>
      <c r="W361" t="str">
        <f t="shared" si="34"/>
        <v/>
      </c>
    </row>
    <row r="362" spans="1:23" x14ac:dyDescent="0.3">
      <c r="A362" t="s">
        <v>812</v>
      </c>
      <c r="B362" s="1">
        <v>46273.394367002315</v>
      </c>
      <c r="C362" t="s">
        <v>18</v>
      </c>
      <c r="D362" t="s">
        <v>194</v>
      </c>
      <c r="E362" t="s">
        <v>64</v>
      </c>
      <c r="F362" t="s">
        <v>21</v>
      </c>
      <c r="G362" t="s">
        <v>22</v>
      </c>
      <c r="H362" t="s">
        <v>813</v>
      </c>
      <c r="I362" t="s">
        <v>49</v>
      </c>
      <c r="K362" t="s">
        <v>49</v>
      </c>
      <c r="L362" t="s">
        <v>49</v>
      </c>
      <c r="N362" t="s">
        <v>49</v>
      </c>
      <c r="O362" t="s">
        <v>49</v>
      </c>
      <c r="P362" t="s">
        <v>721</v>
      </c>
      <c r="R362" s="2" t="str">
        <f t="shared" si="35"/>
        <v>nodejs|A3|B1c|B2a|C1a</v>
      </c>
      <c r="S362" t="str">
        <f t="shared" si="36"/>
        <v>-</v>
      </c>
      <c r="T362" t="str">
        <f t="shared" si="31"/>
        <v>same</v>
      </c>
      <c r="U362" t="str">
        <f t="shared" si="32"/>
        <v/>
      </c>
      <c r="V362" t="str">
        <f t="shared" si="33"/>
        <v/>
      </c>
      <c r="W362" t="str">
        <f t="shared" si="34"/>
        <v/>
      </c>
    </row>
    <row r="363" spans="1:23" x14ac:dyDescent="0.3">
      <c r="A363" t="s">
        <v>814</v>
      </c>
      <c r="B363" s="1">
        <v>46273.394367523149</v>
      </c>
      <c r="C363" t="s">
        <v>18</v>
      </c>
      <c r="D363" t="s">
        <v>194</v>
      </c>
      <c r="E363" t="s">
        <v>64</v>
      </c>
      <c r="F363" t="s">
        <v>21</v>
      </c>
      <c r="G363" t="s">
        <v>238</v>
      </c>
      <c r="H363" t="s">
        <v>813</v>
      </c>
      <c r="I363" t="s">
        <v>49</v>
      </c>
      <c r="K363" t="s">
        <v>49</v>
      </c>
      <c r="L363" t="s">
        <v>49</v>
      </c>
      <c r="N363" t="s">
        <v>49</v>
      </c>
      <c r="O363" t="s">
        <v>49</v>
      </c>
      <c r="P363" t="s">
        <v>721</v>
      </c>
      <c r="R363" s="2" t="str">
        <f t="shared" si="35"/>
        <v>nodejs|A3|B1c|B2a|C1b</v>
      </c>
      <c r="S363" t="str">
        <f t="shared" si="36"/>
        <v>-</v>
      </c>
      <c r="T363" t="str">
        <f t="shared" si="31"/>
        <v/>
      </c>
      <c r="U363" t="str">
        <f t="shared" si="32"/>
        <v/>
      </c>
      <c r="V363" t="str">
        <f t="shared" si="33"/>
        <v/>
      </c>
      <c r="W363" t="str">
        <f t="shared" si="34"/>
        <v/>
      </c>
    </row>
    <row r="364" spans="1:23" x14ac:dyDescent="0.3">
      <c r="A364" t="s">
        <v>815</v>
      </c>
      <c r="B364" s="1">
        <v>46273.394368067129</v>
      </c>
      <c r="C364" t="s">
        <v>18</v>
      </c>
      <c r="D364" t="s">
        <v>194</v>
      </c>
      <c r="E364" t="s">
        <v>64</v>
      </c>
      <c r="F364" t="s">
        <v>21</v>
      </c>
      <c r="G364" t="s">
        <v>31</v>
      </c>
      <c r="H364" t="s">
        <v>813</v>
      </c>
      <c r="I364" t="s">
        <v>49</v>
      </c>
      <c r="K364" t="s">
        <v>49</v>
      </c>
      <c r="L364" t="s">
        <v>49</v>
      </c>
      <c r="N364" t="s">
        <v>49</v>
      </c>
      <c r="O364" t="s">
        <v>49</v>
      </c>
      <c r="P364" t="s">
        <v>721</v>
      </c>
      <c r="R364" s="2" t="str">
        <f t="shared" si="35"/>
        <v>nodejs|A3|B1c|B2a|C1c</v>
      </c>
      <c r="S364" t="str">
        <f t="shared" si="36"/>
        <v>-</v>
      </c>
      <c r="T364" t="str">
        <f t="shared" si="31"/>
        <v/>
      </c>
      <c r="U364" t="str">
        <f t="shared" si="32"/>
        <v/>
      </c>
      <c r="V364" t="str">
        <f t="shared" si="33"/>
        <v/>
      </c>
      <c r="W364" t="str">
        <f t="shared" si="34"/>
        <v/>
      </c>
    </row>
    <row r="365" spans="1:23" x14ac:dyDescent="0.3">
      <c r="A365" t="s">
        <v>816</v>
      </c>
      <c r="B365" s="1">
        <v>46273.394368645837</v>
      </c>
      <c r="C365" t="s">
        <v>18</v>
      </c>
      <c r="D365" t="s">
        <v>194</v>
      </c>
      <c r="E365" t="s">
        <v>64</v>
      </c>
      <c r="F365" t="s">
        <v>34</v>
      </c>
      <c r="G365" t="s">
        <v>22</v>
      </c>
      <c r="H365" t="s">
        <v>813</v>
      </c>
      <c r="I365" t="s">
        <v>49</v>
      </c>
      <c r="K365" t="s">
        <v>49</v>
      </c>
      <c r="L365" t="s">
        <v>49</v>
      </c>
      <c r="N365" t="s">
        <v>49</v>
      </c>
      <c r="O365" t="s">
        <v>49</v>
      </c>
      <c r="P365" t="s">
        <v>721</v>
      </c>
      <c r="R365" s="2" t="str">
        <f t="shared" si="35"/>
        <v>nodejs|A3|B1c|B2b|C1a</v>
      </c>
      <c r="S365" t="str">
        <f t="shared" si="36"/>
        <v>-</v>
      </c>
      <c r="T365" t="str">
        <f t="shared" si="31"/>
        <v>same</v>
      </c>
      <c r="U365" t="str">
        <f t="shared" si="32"/>
        <v/>
      </c>
      <c r="V365" t="str">
        <f t="shared" si="33"/>
        <v/>
      </c>
      <c r="W365" t="str">
        <f t="shared" si="34"/>
        <v/>
      </c>
    </row>
    <row r="366" spans="1:23" x14ac:dyDescent="0.3">
      <c r="A366" t="s">
        <v>817</v>
      </c>
      <c r="B366" s="1">
        <v>46273.394369363428</v>
      </c>
      <c r="C366" t="s">
        <v>18</v>
      </c>
      <c r="D366" t="s">
        <v>194</v>
      </c>
      <c r="E366" t="s">
        <v>64</v>
      </c>
      <c r="F366" t="s">
        <v>34</v>
      </c>
      <c r="G366" t="s">
        <v>238</v>
      </c>
      <c r="H366" t="s">
        <v>813</v>
      </c>
      <c r="I366" t="s">
        <v>49</v>
      </c>
      <c r="K366" t="s">
        <v>49</v>
      </c>
      <c r="L366" t="s">
        <v>49</v>
      </c>
      <c r="N366" t="s">
        <v>49</v>
      </c>
      <c r="O366" t="s">
        <v>49</v>
      </c>
      <c r="P366" t="s">
        <v>721</v>
      </c>
      <c r="R366" s="2" t="str">
        <f t="shared" si="35"/>
        <v>nodejs|A3|B1c|B2b|C1b</v>
      </c>
      <c r="S366" t="str">
        <f t="shared" si="36"/>
        <v>-</v>
      </c>
      <c r="T366" t="str">
        <f t="shared" si="31"/>
        <v/>
      </c>
      <c r="U366" t="str">
        <f t="shared" si="32"/>
        <v/>
      </c>
      <c r="V366" t="str">
        <f t="shared" si="33"/>
        <v/>
      </c>
      <c r="W366" t="str">
        <f t="shared" si="34"/>
        <v/>
      </c>
    </row>
    <row r="367" spans="1:23" x14ac:dyDescent="0.3">
      <c r="A367" t="s">
        <v>818</v>
      </c>
      <c r="B367" s="1">
        <v>46273.394369953705</v>
      </c>
      <c r="C367" t="s">
        <v>18</v>
      </c>
      <c r="D367" t="s">
        <v>194</v>
      </c>
      <c r="E367" t="s">
        <v>64</v>
      </c>
      <c r="F367" t="s">
        <v>34</v>
      </c>
      <c r="G367" t="s">
        <v>31</v>
      </c>
      <c r="H367" t="s">
        <v>813</v>
      </c>
      <c r="I367" t="s">
        <v>49</v>
      </c>
      <c r="K367" t="s">
        <v>49</v>
      </c>
      <c r="L367" t="s">
        <v>49</v>
      </c>
      <c r="N367" t="s">
        <v>49</v>
      </c>
      <c r="O367" t="s">
        <v>49</v>
      </c>
      <c r="P367" t="s">
        <v>721</v>
      </c>
      <c r="R367" s="2" t="str">
        <f t="shared" si="35"/>
        <v>nodejs|A3|B1c|B2b|C1c</v>
      </c>
      <c r="S367" t="str">
        <f t="shared" si="36"/>
        <v>-</v>
      </c>
      <c r="T367" t="str">
        <f t="shared" si="31"/>
        <v/>
      </c>
      <c r="U367" t="str">
        <f t="shared" si="32"/>
        <v/>
      </c>
      <c r="V367" t="str">
        <f t="shared" si="33"/>
        <v/>
      </c>
      <c r="W367" t="str">
        <f t="shared" si="34"/>
        <v/>
      </c>
    </row>
    <row r="368" spans="1:23" x14ac:dyDescent="0.3">
      <c r="A368" t="s">
        <v>819</v>
      </c>
      <c r="B368" s="1">
        <v>46273.394370613423</v>
      </c>
      <c r="C368" t="s">
        <v>18</v>
      </c>
      <c r="D368" t="s">
        <v>194</v>
      </c>
      <c r="E368" t="s">
        <v>64</v>
      </c>
      <c r="F368" t="s">
        <v>42</v>
      </c>
      <c r="G368" t="s">
        <v>22</v>
      </c>
      <c r="H368" t="s">
        <v>813</v>
      </c>
      <c r="I368" t="s">
        <v>49</v>
      </c>
      <c r="K368" t="s">
        <v>49</v>
      </c>
      <c r="L368" t="s">
        <v>49</v>
      </c>
      <c r="N368" t="s">
        <v>49</v>
      </c>
      <c r="O368" t="s">
        <v>49</v>
      </c>
      <c r="P368" t="s">
        <v>721</v>
      </c>
      <c r="R368" s="2" t="str">
        <f t="shared" si="35"/>
        <v>nodejs|A3|B1c|B2c|C1a</v>
      </c>
      <c r="S368" t="str">
        <f t="shared" si="36"/>
        <v>-</v>
      </c>
      <c r="T368" t="str">
        <f t="shared" si="31"/>
        <v>same</v>
      </c>
      <c r="U368" t="str">
        <f t="shared" si="32"/>
        <v/>
      </c>
      <c r="V368" t="str">
        <f t="shared" si="33"/>
        <v/>
      </c>
      <c r="W368" t="str">
        <f t="shared" si="34"/>
        <v/>
      </c>
    </row>
    <row r="369" spans="1:23" x14ac:dyDescent="0.3">
      <c r="A369" t="s">
        <v>820</v>
      </c>
      <c r="B369" s="1">
        <v>46273.394371145834</v>
      </c>
      <c r="C369" t="s">
        <v>18</v>
      </c>
      <c r="D369" t="s">
        <v>194</v>
      </c>
      <c r="E369" t="s">
        <v>64</v>
      </c>
      <c r="F369" t="s">
        <v>42</v>
      </c>
      <c r="G369" t="s">
        <v>238</v>
      </c>
      <c r="H369" t="s">
        <v>813</v>
      </c>
      <c r="I369" t="s">
        <v>49</v>
      </c>
      <c r="K369" t="s">
        <v>49</v>
      </c>
      <c r="L369" t="s">
        <v>49</v>
      </c>
      <c r="N369" t="s">
        <v>49</v>
      </c>
      <c r="O369" t="s">
        <v>49</v>
      </c>
      <c r="P369" t="s">
        <v>721</v>
      </c>
      <c r="R369" s="2" t="str">
        <f t="shared" si="35"/>
        <v>nodejs|A3|B1c|B2c|C1b</v>
      </c>
      <c r="S369" t="str">
        <f t="shared" si="36"/>
        <v>-</v>
      </c>
      <c r="T369" t="str">
        <f t="shared" si="31"/>
        <v/>
      </c>
      <c r="U369" t="str">
        <f t="shared" si="32"/>
        <v/>
      </c>
      <c r="V369" t="str">
        <f t="shared" si="33"/>
        <v/>
      </c>
      <c r="W369" t="str">
        <f t="shared" si="34"/>
        <v/>
      </c>
    </row>
    <row r="370" spans="1:23" x14ac:dyDescent="0.3">
      <c r="A370" t="s">
        <v>821</v>
      </c>
      <c r="B370" s="1">
        <v>46273.394371770832</v>
      </c>
      <c r="C370" t="s">
        <v>18</v>
      </c>
      <c r="D370" t="s">
        <v>194</v>
      </c>
      <c r="E370" t="s">
        <v>64</v>
      </c>
      <c r="F370" t="s">
        <v>42</v>
      </c>
      <c r="G370" t="s">
        <v>31</v>
      </c>
      <c r="H370" t="s">
        <v>813</v>
      </c>
      <c r="I370" t="s">
        <v>49</v>
      </c>
      <c r="K370" t="s">
        <v>49</v>
      </c>
      <c r="L370" t="s">
        <v>49</v>
      </c>
      <c r="N370" t="s">
        <v>49</v>
      </c>
      <c r="O370" t="s">
        <v>49</v>
      </c>
      <c r="P370" t="s">
        <v>721</v>
      </c>
      <c r="R370" s="2" t="str">
        <f t="shared" si="35"/>
        <v>nodejs|A3|B1c|B2c|C1c</v>
      </c>
      <c r="S370" t="str">
        <f t="shared" si="36"/>
        <v>-</v>
      </c>
      <c r="T370" t="str">
        <f t="shared" si="31"/>
        <v/>
      </c>
      <c r="U370" t="str">
        <f t="shared" si="32"/>
        <v/>
      </c>
      <c r="V370" t="str">
        <f t="shared" si="33"/>
        <v/>
      </c>
      <c r="W370" t="str">
        <f t="shared" si="34"/>
        <v/>
      </c>
    </row>
    <row r="371" spans="1:23" x14ac:dyDescent="0.3">
      <c r="A371" t="s">
        <v>822</v>
      </c>
      <c r="B371" s="1">
        <v>46273.39437253472</v>
      </c>
      <c r="C371" t="s">
        <v>231</v>
      </c>
      <c r="D371" t="s">
        <v>194</v>
      </c>
      <c r="E371" t="s">
        <v>64</v>
      </c>
      <c r="F371" t="s">
        <v>21</v>
      </c>
      <c r="G371" t="s">
        <v>22</v>
      </c>
      <c r="H371" t="s">
        <v>813</v>
      </c>
      <c r="I371" t="s">
        <v>49</v>
      </c>
      <c r="K371" t="s">
        <v>49</v>
      </c>
      <c r="L371" t="s">
        <v>49</v>
      </c>
      <c r="N371" t="s">
        <v>49</v>
      </c>
      <c r="O371" t="s">
        <v>49</v>
      </c>
      <c r="P371" t="s">
        <v>721</v>
      </c>
      <c r="R371" s="2" t="str">
        <f t="shared" si="35"/>
        <v>python|A3|B1c|B2a|C1a</v>
      </c>
      <c r="S371" t="str">
        <f t="shared" si="36"/>
        <v>-</v>
      </c>
      <c r="T371" t="str">
        <f>IF(G371="C1a",IF(H371=VLOOKUP(SUBSTITUTE(A371,"_C1a","_C1c"),$A:$H,8,FALSE),"same","DIFF"),"")</f>
        <v>same</v>
      </c>
      <c r="U371" t="str">
        <f t="shared" si="32"/>
        <v/>
      </c>
      <c r="V371" t="str">
        <f t="shared" si="33"/>
        <v/>
      </c>
      <c r="W371" t="str">
        <f t="shared" si="34"/>
        <v/>
      </c>
    </row>
    <row r="372" spans="1:23" x14ac:dyDescent="0.3">
      <c r="A372" t="s">
        <v>823</v>
      </c>
      <c r="B372" s="1">
        <v>46273.394373113428</v>
      </c>
      <c r="C372" t="s">
        <v>231</v>
      </c>
      <c r="D372" t="s">
        <v>194</v>
      </c>
      <c r="E372" t="s">
        <v>64</v>
      </c>
      <c r="F372" t="s">
        <v>21</v>
      </c>
      <c r="G372" t="s">
        <v>238</v>
      </c>
      <c r="H372" t="s">
        <v>813</v>
      </c>
      <c r="I372" t="s">
        <v>49</v>
      </c>
      <c r="K372" t="s">
        <v>49</v>
      </c>
      <c r="L372" t="s">
        <v>49</v>
      </c>
      <c r="N372" t="s">
        <v>49</v>
      </c>
      <c r="O372" t="s">
        <v>49</v>
      </c>
      <c r="P372" t="s">
        <v>721</v>
      </c>
      <c r="R372" s="2" t="str">
        <f t="shared" si="35"/>
        <v>python|A3|B1c|B2a|C1b</v>
      </c>
      <c r="S372" t="str">
        <f t="shared" si="36"/>
        <v>-</v>
      </c>
      <c r="T372" t="str">
        <f t="shared" si="31"/>
        <v/>
      </c>
      <c r="U372" t="str">
        <f t="shared" si="32"/>
        <v/>
      </c>
      <c r="V372" t="str">
        <f t="shared" si="33"/>
        <v/>
      </c>
      <c r="W372" t="str">
        <f t="shared" si="34"/>
        <v/>
      </c>
    </row>
    <row r="373" spans="1:23" x14ac:dyDescent="0.3">
      <c r="A373" t="s">
        <v>824</v>
      </c>
      <c r="B373" s="1">
        <v>46273.394373692128</v>
      </c>
      <c r="C373" t="s">
        <v>231</v>
      </c>
      <c r="D373" t="s">
        <v>194</v>
      </c>
      <c r="E373" t="s">
        <v>64</v>
      </c>
      <c r="F373" t="s">
        <v>21</v>
      </c>
      <c r="G373" t="s">
        <v>31</v>
      </c>
      <c r="H373" t="s">
        <v>813</v>
      </c>
      <c r="I373" t="s">
        <v>49</v>
      </c>
      <c r="K373" t="s">
        <v>49</v>
      </c>
      <c r="L373" t="s">
        <v>49</v>
      </c>
      <c r="N373" t="s">
        <v>49</v>
      </c>
      <c r="O373" t="s">
        <v>49</v>
      </c>
      <c r="P373" t="s">
        <v>721</v>
      </c>
      <c r="R373" s="2" t="str">
        <f t="shared" si="35"/>
        <v>python|A3|B1c|B2a|C1c</v>
      </c>
      <c r="S373" t="str">
        <f t="shared" si="36"/>
        <v>-</v>
      </c>
      <c r="T373" t="str">
        <f t="shared" si="31"/>
        <v/>
      </c>
      <c r="U373" t="str">
        <f t="shared" si="32"/>
        <v/>
      </c>
      <c r="V373" t="str">
        <f t="shared" si="33"/>
        <v/>
      </c>
      <c r="W373" t="str">
        <f t="shared" si="34"/>
        <v/>
      </c>
    </row>
    <row r="374" spans="1:23" x14ac:dyDescent="0.3">
      <c r="A374" t="s">
        <v>825</v>
      </c>
      <c r="B374" s="1">
        <v>46273.394374270836</v>
      </c>
      <c r="C374" t="s">
        <v>231</v>
      </c>
      <c r="D374" t="s">
        <v>194</v>
      </c>
      <c r="E374" t="s">
        <v>64</v>
      </c>
      <c r="F374" t="s">
        <v>34</v>
      </c>
      <c r="G374" t="s">
        <v>22</v>
      </c>
      <c r="H374" t="s">
        <v>813</v>
      </c>
      <c r="I374" t="s">
        <v>49</v>
      </c>
      <c r="K374" t="s">
        <v>49</v>
      </c>
      <c r="L374" t="s">
        <v>49</v>
      </c>
      <c r="N374" t="s">
        <v>49</v>
      </c>
      <c r="O374" t="s">
        <v>49</v>
      </c>
      <c r="P374" t="s">
        <v>721</v>
      </c>
      <c r="R374" s="2" t="str">
        <f t="shared" si="35"/>
        <v>python|A3|B1c|B2b|C1a</v>
      </c>
      <c r="S374" t="str">
        <f t="shared" si="36"/>
        <v>-</v>
      </c>
      <c r="T374" t="str">
        <f t="shared" si="31"/>
        <v>same</v>
      </c>
      <c r="U374" t="str">
        <f t="shared" si="32"/>
        <v/>
      </c>
      <c r="V374" t="str">
        <f t="shared" si="33"/>
        <v/>
      </c>
      <c r="W374" t="str">
        <f t="shared" si="34"/>
        <v/>
      </c>
    </row>
    <row r="375" spans="1:23" x14ac:dyDescent="0.3">
      <c r="A375" t="s">
        <v>826</v>
      </c>
      <c r="B375" s="1">
        <v>46273.394375034724</v>
      </c>
      <c r="C375" t="s">
        <v>231</v>
      </c>
      <c r="D375" t="s">
        <v>194</v>
      </c>
      <c r="E375" t="s">
        <v>64</v>
      </c>
      <c r="F375" t="s">
        <v>34</v>
      </c>
      <c r="G375" t="s">
        <v>238</v>
      </c>
      <c r="H375" t="s">
        <v>813</v>
      </c>
      <c r="I375" t="s">
        <v>49</v>
      </c>
      <c r="K375" t="s">
        <v>49</v>
      </c>
      <c r="L375" t="s">
        <v>49</v>
      </c>
      <c r="N375" t="s">
        <v>49</v>
      </c>
      <c r="O375" t="s">
        <v>49</v>
      </c>
      <c r="P375" t="s">
        <v>721</v>
      </c>
      <c r="R375" s="2" t="str">
        <f t="shared" si="35"/>
        <v>python|A3|B1c|B2b|C1b</v>
      </c>
      <c r="S375" t="str">
        <f t="shared" si="36"/>
        <v>-</v>
      </c>
      <c r="T375" t="str">
        <f t="shared" si="31"/>
        <v/>
      </c>
      <c r="U375" t="str">
        <f t="shared" si="32"/>
        <v/>
      </c>
      <c r="V375" t="str">
        <f t="shared" si="33"/>
        <v/>
      </c>
      <c r="W375" t="str">
        <f t="shared" si="34"/>
        <v/>
      </c>
    </row>
    <row r="376" spans="1:23" x14ac:dyDescent="0.3">
      <c r="A376" t="s">
        <v>827</v>
      </c>
      <c r="B376" s="1">
        <v>46273.394375613425</v>
      </c>
      <c r="C376" t="s">
        <v>231</v>
      </c>
      <c r="D376" t="s">
        <v>194</v>
      </c>
      <c r="E376" t="s">
        <v>64</v>
      </c>
      <c r="F376" t="s">
        <v>34</v>
      </c>
      <c r="G376" t="s">
        <v>31</v>
      </c>
      <c r="H376" t="s">
        <v>813</v>
      </c>
      <c r="I376" t="s">
        <v>49</v>
      </c>
      <c r="K376" t="s">
        <v>49</v>
      </c>
      <c r="L376" t="s">
        <v>49</v>
      </c>
      <c r="N376" t="s">
        <v>49</v>
      </c>
      <c r="O376" t="s">
        <v>49</v>
      </c>
      <c r="P376" t="s">
        <v>721</v>
      </c>
      <c r="R376" s="2" t="str">
        <f t="shared" si="35"/>
        <v>python|A3|B1c|B2b|C1c</v>
      </c>
      <c r="S376" t="str">
        <f t="shared" si="36"/>
        <v>-</v>
      </c>
      <c r="T376" t="str">
        <f t="shared" si="31"/>
        <v/>
      </c>
      <c r="U376" t="str">
        <f t="shared" si="32"/>
        <v/>
      </c>
      <c r="V376" t="str">
        <f t="shared" si="33"/>
        <v/>
      </c>
      <c r="W376" t="str">
        <f t="shared" si="34"/>
        <v/>
      </c>
    </row>
    <row r="377" spans="1:23" x14ac:dyDescent="0.3">
      <c r="A377" t="s">
        <v>828</v>
      </c>
      <c r="B377" s="1">
        <v>46273.394376192133</v>
      </c>
      <c r="C377" t="s">
        <v>231</v>
      </c>
      <c r="D377" t="s">
        <v>194</v>
      </c>
      <c r="E377" t="s">
        <v>64</v>
      </c>
      <c r="F377" t="s">
        <v>42</v>
      </c>
      <c r="G377" t="s">
        <v>22</v>
      </c>
      <c r="H377" t="s">
        <v>813</v>
      </c>
      <c r="I377" t="s">
        <v>49</v>
      </c>
      <c r="K377" t="s">
        <v>49</v>
      </c>
      <c r="L377" t="s">
        <v>49</v>
      </c>
      <c r="N377" t="s">
        <v>49</v>
      </c>
      <c r="O377" t="s">
        <v>49</v>
      </c>
      <c r="P377" t="s">
        <v>721</v>
      </c>
      <c r="R377" s="2" t="str">
        <f t="shared" si="35"/>
        <v>python|A3|B1c|B2c|C1a</v>
      </c>
      <c r="S377" t="str">
        <f t="shared" si="36"/>
        <v>-</v>
      </c>
      <c r="T377" t="str">
        <f t="shared" si="31"/>
        <v>same</v>
      </c>
      <c r="U377" t="str">
        <f t="shared" si="32"/>
        <v/>
      </c>
      <c r="V377" t="str">
        <f t="shared" si="33"/>
        <v/>
      </c>
      <c r="W377" t="str">
        <f t="shared" si="34"/>
        <v/>
      </c>
    </row>
    <row r="378" spans="1:23" x14ac:dyDescent="0.3">
      <c r="A378" t="s">
        <v>829</v>
      </c>
      <c r="B378" s="1">
        <v>46273.394376770833</v>
      </c>
      <c r="C378" t="s">
        <v>231</v>
      </c>
      <c r="D378" t="s">
        <v>194</v>
      </c>
      <c r="E378" t="s">
        <v>64</v>
      </c>
      <c r="F378" t="s">
        <v>42</v>
      </c>
      <c r="G378" t="s">
        <v>238</v>
      </c>
      <c r="H378" t="s">
        <v>813</v>
      </c>
      <c r="I378" t="s">
        <v>49</v>
      </c>
      <c r="K378" t="s">
        <v>49</v>
      </c>
      <c r="L378" t="s">
        <v>49</v>
      </c>
      <c r="N378" t="s">
        <v>49</v>
      </c>
      <c r="O378" t="s">
        <v>49</v>
      </c>
      <c r="P378" t="s">
        <v>721</v>
      </c>
      <c r="R378" s="2" t="str">
        <f t="shared" si="35"/>
        <v>python|A3|B1c|B2c|C1b</v>
      </c>
      <c r="S378" t="str">
        <f t="shared" si="36"/>
        <v>-</v>
      </c>
      <c r="T378" t="str">
        <f t="shared" si="31"/>
        <v/>
      </c>
      <c r="U378" t="str">
        <f t="shared" si="32"/>
        <v/>
      </c>
      <c r="V378" t="str">
        <f t="shared" si="33"/>
        <v/>
      </c>
      <c r="W378" t="str">
        <f t="shared" si="34"/>
        <v/>
      </c>
    </row>
    <row r="379" spans="1:23" x14ac:dyDescent="0.3">
      <c r="A379" t="s">
        <v>830</v>
      </c>
      <c r="B379" s="1">
        <v>46273.394377569442</v>
      </c>
      <c r="C379" t="s">
        <v>231</v>
      </c>
      <c r="D379" t="s">
        <v>194</v>
      </c>
      <c r="E379" t="s">
        <v>64</v>
      </c>
      <c r="F379" t="s">
        <v>42</v>
      </c>
      <c r="G379" t="s">
        <v>31</v>
      </c>
      <c r="H379" t="s">
        <v>813</v>
      </c>
      <c r="I379" t="s">
        <v>49</v>
      </c>
      <c r="K379" t="s">
        <v>49</v>
      </c>
      <c r="L379" t="s">
        <v>49</v>
      </c>
      <c r="N379" t="s">
        <v>49</v>
      </c>
      <c r="O379" t="s">
        <v>49</v>
      </c>
      <c r="P379" t="s">
        <v>721</v>
      </c>
      <c r="R379" s="2" t="str">
        <f t="shared" si="35"/>
        <v>python|A3|B1c|B2c|C1c</v>
      </c>
      <c r="S379" t="str">
        <f t="shared" si="36"/>
        <v>-</v>
      </c>
      <c r="T379" t="str">
        <f t="shared" si="31"/>
        <v/>
      </c>
      <c r="U379" t="str">
        <f t="shared" si="32"/>
        <v/>
      </c>
      <c r="V379" t="str">
        <f t="shared" si="33"/>
        <v/>
      </c>
      <c r="W379" t="str">
        <f t="shared" si="34"/>
        <v/>
      </c>
    </row>
    <row r="380" spans="1:23" x14ac:dyDescent="0.3">
      <c r="A380" t="s">
        <v>831</v>
      </c>
      <c r="B380" s="1">
        <v>46273.394378124998</v>
      </c>
      <c r="C380" t="s">
        <v>519</v>
      </c>
      <c r="D380" t="s">
        <v>19</v>
      </c>
      <c r="E380" t="s">
        <v>20</v>
      </c>
      <c r="F380" t="s">
        <v>42</v>
      </c>
      <c r="G380" t="s">
        <v>22</v>
      </c>
      <c r="H380" t="s">
        <v>813</v>
      </c>
      <c r="I380" t="s">
        <v>49</v>
      </c>
      <c r="K380" t="s">
        <v>49</v>
      </c>
      <c r="L380" t="s">
        <v>49</v>
      </c>
      <c r="N380" t="s">
        <v>49</v>
      </c>
      <c r="O380" t="s">
        <v>49</v>
      </c>
      <c r="P380" t="s">
        <v>721</v>
      </c>
      <c r="R380" s="2" t="str">
        <f t="shared" si="35"/>
        <v>java|A1a|B1a|B2c|C1a</v>
      </c>
      <c r="S380" t="str">
        <f t="shared" si="36"/>
        <v>-</v>
      </c>
      <c r="T380" t="str">
        <f t="shared" si="31"/>
        <v>same</v>
      </c>
      <c r="U380" t="str">
        <f t="shared" si="32"/>
        <v/>
      </c>
      <c r="V380" t="str">
        <f t="shared" si="33"/>
        <v/>
      </c>
      <c r="W380" t="str">
        <f t="shared" si="34"/>
        <v>same</v>
      </c>
    </row>
    <row r="381" spans="1:23" x14ac:dyDescent="0.3">
      <c r="A381" t="s">
        <v>832</v>
      </c>
      <c r="B381" s="1">
        <v>46273.394378703706</v>
      </c>
      <c r="C381" t="s">
        <v>519</v>
      </c>
      <c r="D381" t="s">
        <v>19</v>
      </c>
      <c r="E381" t="s">
        <v>20</v>
      </c>
      <c r="F381" t="s">
        <v>42</v>
      </c>
      <c r="G381" t="s">
        <v>238</v>
      </c>
      <c r="H381" t="s">
        <v>813</v>
      </c>
      <c r="I381" t="s">
        <v>49</v>
      </c>
      <c r="K381" t="s">
        <v>49</v>
      </c>
      <c r="L381" t="s">
        <v>49</v>
      </c>
      <c r="N381" t="s">
        <v>49</v>
      </c>
      <c r="O381" t="s">
        <v>49</v>
      </c>
      <c r="P381" t="s">
        <v>721</v>
      </c>
      <c r="R381" s="2" t="str">
        <f t="shared" si="35"/>
        <v>java|A1a|B1a|B2c|C1b</v>
      </c>
      <c r="S381" t="str">
        <f t="shared" si="36"/>
        <v>-</v>
      </c>
      <c r="T381" t="str">
        <f t="shared" si="31"/>
        <v/>
      </c>
      <c r="U381" t="str">
        <f t="shared" si="32"/>
        <v/>
      </c>
      <c r="V381" t="str">
        <f t="shared" si="33"/>
        <v/>
      </c>
      <c r="W381" t="str">
        <f t="shared" si="34"/>
        <v>same</v>
      </c>
    </row>
    <row r="382" spans="1:23" x14ac:dyDescent="0.3">
      <c r="A382" t="s">
        <v>833</v>
      </c>
      <c r="B382" s="1">
        <v>46273.394379282407</v>
      </c>
      <c r="C382" t="s">
        <v>519</v>
      </c>
      <c r="D382" t="s">
        <v>19</v>
      </c>
      <c r="E382" t="s">
        <v>20</v>
      </c>
      <c r="F382" t="s">
        <v>42</v>
      </c>
      <c r="G382" t="s">
        <v>31</v>
      </c>
      <c r="H382" t="s">
        <v>813</v>
      </c>
      <c r="I382" t="s">
        <v>49</v>
      </c>
      <c r="K382" t="s">
        <v>49</v>
      </c>
      <c r="L382" t="s">
        <v>49</v>
      </c>
      <c r="N382" t="s">
        <v>49</v>
      </c>
      <c r="O382" t="s">
        <v>49</v>
      </c>
      <c r="P382" t="s">
        <v>721</v>
      </c>
      <c r="R382" s="2" t="str">
        <f t="shared" si="35"/>
        <v>java|A1a|B1a|B2c|C1c</v>
      </c>
      <c r="S382" t="str">
        <f t="shared" si="36"/>
        <v>-</v>
      </c>
      <c r="T382" t="str">
        <f t="shared" si="31"/>
        <v/>
      </c>
      <c r="U382" t="str">
        <f t="shared" si="32"/>
        <v/>
      </c>
      <c r="V382" t="str">
        <f t="shared" si="33"/>
        <v/>
      </c>
      <c r="W382" t="str">
        <f t="shared" si="34"/>
        <v>same</v>
      </c>
    </row>
    <row r="383" spans="1:23" x14ac:dyDescent="0.3">
      <c r="A383" t="s">
        <v>834</v>
      </c>
      <c r="B383" s="1">
        <v>46273.394379895835</v>
      </c>
      <c r="C383" t="s">
        <v>519</v>
      </c>
      <c r="D383" t="s">
        <v>19</v>
      </c>
      <c r="E383" t="s">
        <v>47</v>
      </c>
      <c r="F383" t="s">
        <v>42</v>
      </c>
      <c r="G383" t="s">
        <v>22</v>
      </c>
      <c r="H383" t="s">
        <v>813</v>
      </c>
      <c r="I383" t="s">
        <v>49</v>
      </c>
      <c r="K383" t="s">
        <v>49</v>
      </c>
      <c r="L383" t="s">
        <v>49</v>
      </c>
      <c r="N383" t="s">
        <v>49</v>
      </c>
      <c r="O383" t="s">
        <v>49</v>
      </c>
      <c r="P383" t="s">
        <v>721</v>
      </c>
      <c r="R383" s="2" t="str">
        <f t="shared" si="35"/>
        <v>java|A1a|B1b|B2c|C1a</v>
      </c>
      <c r="S383" t="str">
        <f t="shared" si="36"/>
        <v>-</v>
      </c>
      <c r="T383" t="str">
        <f t="shared" si="31"/>
        <v>same</v>
      </c>
      <c r="U383" t="str">
        <f t="shared" si="32"/>
        <v/>
      </c>
      <c r="V383" t="str">
        <f t="shared" si="33"/>
        <v/>
      </c>
      <c r="W383" t="str">
        <f t="shared" si="34"/>
        <v>same</v>
      </c>
    </row>
    <row r="384" spans="1:23" x14ac:dyDescent="0.3">
      <c r="A384" t="s">
        <v>835</v>
      </c>
      <c r="B384" s="1">
        <v>46273.394380636571</v>
      </c>
      <c r="C384" t="s">
        <v>519</v>
      </c>
      <c r="D384" t="s">
        <v>19</v>
      </c>
      <c r="E384" t="s">
        <v>47</v>
      </c>
      <c r="F384" t="s">
        <v>42</v>
      </c>
      <c r="G384" t="s">
        <v>238</v>
      </c>
      <c r="H384" t="s">
        <v>813</v>
      </c>
      <c r="I384" t="s">
        <v>49</v>
      </c>
      <c r="K384" t="s">
        <v>49</v>
      </c>
      <c r="L384" t="s">
        <v>49</v>
      </c>
      <c r="N384" t="s">
        <v>49</v>
      </c>
      <c r="O384" t="s">
        <v>49</v>
      </c>
      <c r="P384" t="s">
        <v>721</v>
      </c>
      <c r="R384" s="2" t="str">
        <f t="shared" si="35"/>
        <v>java|A1a|B1b|B2c|C1b</v>
      </c>
      <c r="S384" t="str">
        <f t="shared" si="36"/>
        <v>-</v>
      </c>
      <c r="T384" t="str">
        <f t="shared" si="31"/>
        <v/>
      </c>
      <c r="U384" t="str">
        <f t="shared" si="32"/>
        <v/>
      </c>
      <c r="V384" t="str">
        <f t="shared" si="33"/>
        <v/>
      </c>
      <c r="W384" t="str">
        <f t="shared" si="34"/>
        <v>same</v>
      </c>
    </row>
    <row r="385" spans="1:23" x14ac:dyDescent="0.3">
      <c r="A385" t="s">
        <v>836</v>
      </c>
      <c r="B385" s="1">
        <v>46273.394381296297</v>
      </c>
      <c r="C385" t="s">
        <v>519</v>
      </c>
      <c r="D385" t="s">
        <v>19</v>
      </c>
      <c r="E385" t="s">
        <v>47</v>
      </c>
      <c r="F385" t="s">
        <v>42</v>
      </c>
      <c r="G385" t="s">
        <v>31</v>
      </c>
      <c r="H385" t="s">
        <v>813</v>
      </c>
      <c r="I385" t="s">
        <v>49</v>
      </c>
      <c r="K385" t="s">
        <v>49</v>
      </c>
      <c r="L385" t="s">
        <v>49</v>
      </c>
      <c r="N385" t="s">
        <v>49</v>
      </c>
      <c r="O385" t="s">
        <v>49</v>
      </c>
      <c r="P385" t="s">
        <v>721</v>
      </c>
      <c r="R385" s="2" t="str">
        <f t="shared" si="35"/>
        <v>java|A1a|B1b|B2c|C1c</v>
      </c>
      <c r="S385" t="str">
        <f t="shared" si="36"/>
        <v>-</v>
      </c>
      <c r="T385" t="str">
        <f t="shared" si="31"/>
        <v/>
      </c>
      <c r="U385" t="str">
        <f t="shared" si="32"/>
        <v/>
      </c>
      <c r="V385" t="str">
        <f t="shared" si="33"/>
        <v/>
      </c>
      <c r="W385" t="str">
        <f t="shared" si="34"/>
        <v>same</v>
      </c>
    </row>
    <row r="386" spans="1:23" x14ac:dyDescent="0.3">
      <c r="A386" t="s">
        <v>837</v>
      </c>
      <c r="B386" s="1">
        <v>46273.394381759259</v>
      </c>
      <c r="C386" t="s">
        <v>519</v>
      </c>
      <c r="D386" t="s">
        <v>19</v>
      </c>
      <c r="E386" t="s">
        <v>64</v>
      </c>
      <c r="F386" t="s">
        <v>42</v>
      </c>
      <c r="G386" t="s">
        <v>22</v>
      </c>
      <c r="H386" t="s">
        <v>813</v>
      </c>
      <c r="I386" t="s">
        <v>49</v>
      </c>
      <c r="K386" t="s">
        <v>49</v>
      </c>
      <c r="L386" t="s">
        <v>49</v>
      </c>
      <c r="N386" t="s">
        <v>49</v>
      </c>
      <c r="O386" t="s">
        <v>49</v>
      </c>
      <c r="P386" t="s">
        <v>721</v>
      </c>
      <c r="R386" s="2" t="str">
        <f t="shared" si="35"/>
        <v>java|A1a|B1c|B2c|C1a</v>
      </c>
      <c r="S386" t="str">
        <f t="shared" si="36"/>
        <v>-</v>
      </c>
      <c r="T386" t="str">
        <f t="shared" ref="T386:T433" si="37">IF(G386="C1a",IF(H386=VLOOKUP(SUBSTITUTE(A386,"_C1a","_C1c"),$A:$H,8,FALSE),"same","DIFF"),"")</f>
        <v>same</v>
      </c>
      <c r="U386" t="str">
        <f t="shared" ref="U386:U433" si="38">IF(AND(C386="nodejs",E386="B1b"),IF(H386=VLOOKUP(SUBSTITUTE(A386,"_B1b_","_B1d_"),$A:$H,8,FALSE),"same","DIFF"),"")</f>
        <v/>
      </c>
      <c r="V386" t="str">
        <f t="shared" ref="V386:V433" si="39">IF(AND(C386="nodejs",E386="B1c",H386&lt;&gt;"invalid_configuration"),IF(H386=VLOOKUP(SUBSTITUTE(A386,"_B1c_","_B1b_"),$A:$H,8,FALSE),"same","DIFF"),"")</f>
        <v/>
      </c>
      <c r="W386" t="str">
        <f t="shared" ref="W386:W433" si="40">IF(D386="A1a",IF(H386=VLOOKUP(SUBSTITUTE(A386,"_A1a_","_A1b_"),$A:$H,8,FALSE),"same","DIFF"),"")</f>
        <v>same</v>
      </c>
    </row>
    <row r="387" spans="1:23" x14ac:dyDescent="0.3">
      <c r="A387" t="s">
        <v>838</v>
      </c>
      <c r="B387" s="1">
        <v>46273.394382395833</v>
      </c>
      <c r="C387" t="s">
        <v>519</v>
      </c>
      <c r="D387" t="s">
        <v>19</v>
      </c>
      <c r="E387" t="s">
        <v>64</v>
      </c>
      <c r="F387" t="s">
        <v>42</v>
      </c>
      <c r="G387" t="s">
        <v>238</v>
      </c>
      <c r="H387" t="s">
        <v>813</v>
      </c>
      <c r="I387" t="s">
        <v>49</v>
      </c>
      <c r="K387" t="s">
        <v>49</v>
      </c>
      <c r="L387" t="s">
        <v>49</v>
      </c>
      <c r="N387" t="s">
        <v>49</v>
      </c>
      <c r="O387" t="s">
        <v>49</v>
      </c>
      <c r="P387" t="s">
        <v>721</v>
      </c>
      <c r="R387" s="2" t="str">
        <f t="shared" ref="R387:R433" si="41">C387&amp;"|"&amp;D387&amp;"|"&amp;E387&amp;"|"&amp;F387&amp;"|"&amp;G387</f>
        <v>java|A1a|B1c|B2c|C1b</v>
      </c>
      <c r="S387" t="str">
        <f t="shared" ref="S387:S433" si="42">IF(H387="malicious_resolved","M",IF(H387="private_resolved","P",IF(H387="resolution_error","E","-")))</f>
        <v>-</v>
      </c>
      <c r="T387" t="str">
        <f t="shared" si="37"/>
        <v/>
      </c>
      <c r="U387" t="str">
        <f t="shared" si="38"/>
        <v/>
      </c>
      <c r="V387" t="str">
        <f t="shared" si="39"/>
        <v/>
      </c>
      <c r="W387" t="str">
        <f t="shared" si="40"/>
        <v>same</v>
      </c>
    </row>
    <row r="388" spans="1:23" x14ac:dyDescent="0.3">
      <c r="A388" t="s">
        <v>839</v>
      </c>
      <c r="B388" s="1">
        <v>46273.394382997685</v>
      </c>
      <c r="C388" t="s">
        <v>519</v>
      </c>
      <c r="D388" t="s">
        <v>19</v>
      </c>
      <c r="E388" t="s">
        <v>64</v>
      </c>
      <c r="F388" t="s">
        <v>42</v>
      </c>
      <c r="G388" t="s">
        <v>31</v>
      </c>
      <c r="H388" t="s">
        <v>813</v>
      </c>
      <c r="I388" t="s">
        <v>49</v>
      </c>
      <c r="K388" t="s">
        <v>49</v>
      </c>
      <c r="L388" t="s">
        <v>49</v>
      </c>
      <c r="N388" t="s">
        <v>49</v>
      </c>
      <c r="O388" t="s">
        <v>49</v>
      </c>
      <c r="P388" t="s">
        <v>721</v>
      </c>
      <c r="R388" s="2" t="str">
        <f t="shared" si="41"/>
        <v>java|A1a|B1c|B2c|C1c</v>
      </c>
      <c r="S388" t="str">
        <f t="shared" si="42"/>
        <v>-</v>
      </c>
      <c r="T388" t="str">
        <f t="shared" si="37"/>
        <v/>
      </c>
      <c r="U388" t="str">
        <f t="shared" si="38"/>
        <v/>
      </c>
      <c r="V388" t="str">
        <f t="shared" si="39"/>
        <v/>
      </c>
      <c r="W388" t="str">
        <f t="shared" si="40"/>
        <v>same</v>
      </c>
    </row>
    <row r="389" spans="1:23" x14ac:dyDescent="0.3">
      <c r="A389" t="s">
        <v>840</v>
      </c>
      <c r="B389" s="1">
        <v>46273.39438351852</v>
      </c>
      <c r="C389" t="s">
        <v>519</v>
      </c>
      <c r="D389" t="s">
        <v>19</v>
      </c>
      <c r="E389" t="s">
        <v>79</v>
      </c>
      <c r="F389" t="s">
        <v>42</v>
      </c>
      <c r="G389" t="s">
        <v>22</v>
      </c>
      <c r="H389" t="s">
        <v>813</v>
      </c>
      <c r="I389" t="s">
        <v>49</v>
      </c>
      <c r="K389" t="s">
        <v>49</v>
      </c>
      <c r="L389" t="s">
        <v>49</v>
      </c>
      <c r="N389" t="s">
        <v>49</v>
      </c>
      <c r="O389" t="s">
        <v>49</v>
      </c>
      <c r="P389" t="s">
        <v>721</v>
      </c>
      <c r="R389" s="2" t="str">
        <f t="shared" si="41"/>
        <v>java|A1a|B1d|B2c|C1a</v>
      </c>
      <c r="S389" t="str">
        <f t="shared" si="42"/>
        <v>-</v>
      </c>
      <c r="T389" t="str">
        <f t="shared" si="37"/>
        <v>same</v>
      </c>
      <c r="U389" t="str">
        <f t="shared" si="38"/>
        <v/>
      </c>
      <c r="V389" t="str">
        <f t="shared" si="39"/>
        <v/>
      </c>
      <c r="W389" t="str">
        <f t="shared" si="40"/>
        <v>same</v>
      </c>
    </row>
    <row r="390" spans="1:23" x14ac:dyDescent="0.3">
      <c r="A390" t="s">
        <v>841</v>
      </c>
      <c r="B390" s="1">
        <v>46273.394384247687</v>
      </c>
      <c r="C390" t="s">
        <v>519</v>
      </c>
      <c r="D390" t="s">
        <v>19</v>
      </c>
      <c r="E390" t="s">
        <v>79</v>
      </c>
      <c r="F390" t="s">
        <v>42</v>
      </c>
      <c r="G390" t="s">
        <v>238</v>
      </c>
      <c r="H390" t="s">
        <v>813</v>
      </c>
      <c r="I390" t="s">
        <v>49</v>
      </c>
      <c r="K390" t="s">
        <v>49</v>
      </c>
      <c r="L390" t="s">
        <v>49</v>
      </c>
      <c r="N390" t="s">
        <v>49</v>
      </c>
      <c r="O390" t="s">
        <v>49</v>
      </c>
      <c r="P390" t="s">
        <v>721</v>
      </c>
      <c r="R390" s="2" t="str">
        <f t="shared" si="41"/>
        <v>java|A1a|B1d|B2c|C1b</v>
      </c>
      <c r="S390" t="str">
        <f t="shared" si="42"/>
        <v>-</v>
      </c>
      <c r="T390" t="str">
        <f t="shared" si="37"/>
        <v/>
      </c>
      <c r="U390" t="str">
        <f t="shared" si="38"/>
        <v/>
      </c>
      <c r="V390" t="str">
        <f t="shared" si="39"/>
        <v/>
      </c>
      <c r="W390" t="str">
        <f t="shared" si="40"/>
        <v>same</v>
      </c>
    </row>
    <row r="391" spans="1:23" x14ac:dyDescent="0.3">
      <c r="A391" t="s">
        <v>842</v>
      </c>
      <c r="B391" s="1">
        <v>46273.394384722225</v>
      </c>
      <c r="C391" t="s">
        <v>519</v>
      </c>
      <c r="D391" t="s">
        <v>19</v>
      </c>
      <c r="E391" t="s">
        <v>79</v>
      </c>
      <c r="F391" t="s">
        <v>42</v>
      </c>
      <c r="G391" t="s">
        <v>31</v>
      </c>
      <c r="H391" t="s">
        <v>813</v>
      </c>
      <c r="I391" t="s">
        <v>49</v>
      </c>
      <c r="K391" t="s">
        <v>49</v>
      </c>
      <c r="L391" t="s">
        <v>49</v>
      </c>
      <c r="N391" t="s">
        <v>49</v>
      </c>
      <c r="O391" t="s">
        <v>49</v>
      </c>
      <c r="P391" t="s">
        <v>721</v>
      </c>
      <c r="R391" s="2" t="str">
        <f t="shared" si="41"/>
        <v>java|A1a|B1d|B2c|C1c</v>
      </c>
      <c r="S391" t="str">
        <f t="shared" si="42"/>
        <v>-</v>
      </c>
      <c r="T391" t="str">
        <f t="shared" si="37"/>
        <v/>
      </c>
      <c r="U391" t="str">
        <f t="shared" si="38"/>
        <v/>
      </c>
      <c r="V391" t="str">
        <f t="shared" si="39"/>
        <v/>
      </c>
      <c r="W391" t="str">
        <f t="shared" si="40"/>
        <v>same</v>
      </c>
    </row>
    <row r="392" spans="1:23" x14ac:dyDescent="0.3">
      <c r="A392" t="s">
        <v>843</v>
      </c>
      <c r="B392" s="1">
        <v>46273.394385439817</v>
      </c>
      <c r="C392" t="s">
        <v>519</v>
      </c>
      <c r="D392" t="s">
        <v>92</v>
      </c>
      <c r="E392" t="s">
        <v>20</v>
      </c>
      <c r="F392" t="s">
        <v>42</v>
      </c>
      <c r="G392" t="s">
        <v>22</v>
      </c>
      <c r="H392" t="s">
        <v>813</v>
      </c>
      <c r="I392" t="s">
        <v>49</v>
      </c>
      <c r="K392" t="s">
        <v>49</v>
      </c>
      <c r="L392" t="s">
        <v>49</v>
      </c>
      <c r="N392" t="s">
        <v>49</v>
      </c>
      <c r="O392" t="s">
        <v>49</v>
      </c>
      <c r="P392" t="s">
        <v>721</v>
      </c>
      <c r="R392" s="2" t="str">
        <f t="shared" si="41"/>
        <v>java|A1b|B1a|B2c|C1a</v>
      </c>
      <c r="S392" t="str">
        <f t="shared" si="42"/>
        <v>-</v>
      </c>
      <c r="T392" t="str">
        <f t="shared" si="37"/>
        <v>same</v>
      </c>
      <c r="U392" t="str">
        <f t="shared" si="38"/>
        <v/>
      </c>
      <c r="V392" t="str">
        <f t="shared" si="39"/>
        <v/>
      </c>
      <c r="W392" t="str">
        <f t="shared" si="40"/>
        <v/>
      </c>
    </row>
    <row r="393" spans="1:23" x14ac:dyDescent="0.3">
      <c r="A393" t="s">
        <v>844</v>
      </c>
      <c r="B393" s="1">
        <v>46273.394386018517</v>
      </c>
      <c r="C393" t="s">
        <v>519</v>
      </c>
      <c r="D393" t="s">
        <v>92</v>
      </c>
      <c r="E393" t="s">
        <v>20</v>
      </c>
      <c r="F393" t="s">
        <v>42</v>
      </c>
      <c r="G393" t="s">
        <v>238</v>
      </c>
      <c r="H393" t="s">
        <v>813</v>
      </c>
      <c r="I393" t="s">
        <v>49</v>
      </c>
      <c r="K393" t="s">
        <v>49</v>
      </c>
      <c r="L393" t="s">
        <v>49</v>
      </c>
      <c r="N393" t="s">
        <v>49</v>
      </c>
      <c r="O393" t="s">
        <v>49</v>
      </c>
      <c r="P393" t="s">
        <v>721</v>
      </c>
      <c r="R393" s="2" t="str">
        <f t="shared" si="41"/>
        <v>java|A1b|B1a|B2c|C1b</v>
      </c>
      <c r="S393" t="str">
        <f t="shared" si="42"/>
        <v>-</v>
      </c>
      <c r="T393" t="str">
        <f t="shared" si="37"/>
        <v/>
      </c>
      <c r="U393" t="str">
        <f t="shared" si="38"/>
        <v/>
      </c>
      <c r="V393" t="str">
        <f t="shared" si="39"/>
        <v/>
      </c>
      <c r="W393" t="str">
        <f t="shared" si="40"/>
        <v/>
      </c>
    </row>
    <row r="394" spans="1:23" x14ac:dyDescent="0.3">
      <c r="A394" t="s">
        <v>845</v>
      </c>
      <c r="B394" s="1">
        <v>46273.394386701388</v>
      </c>
      <c r="C394" t="s">
        <v>519</v>
      </c>
      <c r="D394" t="s">
        <v>92</v>
      </c>
      <c r="E394" t="s">
        <v>20</v>
      </c>
      <c r="F394" t="s">
        <v>42</v>
      </c>
      <c r="G394" t="s">
        <v>31</v>
      </c>
      <c r="H394" t="s">
        <v>813</v>
      </c>
      <c r="I394" t="s">
        <v>49</v>
      </c>
      <c r="K394" t="s">
        <v>49</v>
      </c>
      <c r="L394" t="s">
        <v>49</v>
      </c>
      <c r="N394" t="s">
        <v>49</v>
      </c>
      <c r="O394" t="s">
        <v>49</v>
      </c>
      <c r="P394" t="s">
        <v>721</v>
      </c>
      <c r="R394" s="2" t="str">
        <f t="shared" si="41"/>
        <v>java|A1b|B1a|B2c|C1c</v>
      </c>
      <c r="S394" t="str">
        <f t="shared" si="42"/>
        <v>-</v>
      </c>
      <c r="T394" t="str">
        <f t="shared" si="37"/>
        <v/>
      </c>
      <c r="U394" t="str">
        <f t="shared" si="38"/>
        <v/>
      </c>
      <c r="V394" t="str">
        <f t="shared" si="39"/>
        <v/>
      </c>
      <c r="W394" t="str">
        <f t="shared" si="40"/>
        <v/>
      </c>
    </row>
    <row r="395" spans="1:23" x14ac:dyDescent="0.3">
      <c r="A395" t="s">
        <v>846</v>
      </c>
      <c r="B395" s="1">
        <v>46273.394387222223</v>
      </c>
      <c r="C395" t="s">
        <v>519</v>
      </c>
      <c r="D395" t="s">
        <v>92</v>
      </c>
      <c r="E395" t="s">
        <v>47</v>
      </c>
      <c r="F395" t="s">
        <v>42</v>
      </c>
      <c r="G395" t="s">
        <v>22</v>
      </c>
      <c r="H395" t="s">
        <v>813</v>
      </c>
      <c r="I395" t="s">
        <v>49</v>
      </c>
      <c r="K395" t="s">
        <v>49</v>
      </c>
      <c r="L395" t="s">
        <v>49</v>
      </c>
      <c r="N395" t="s">
        <v>49</v>
      </c>
      <c r="O395" t="s">
        <v>49</v>
      </c>
      <c r="P395" t="s">
        <v>721</v>
      </c>
      <c r="R395" s="2" t="str">
        <f t="shared" si="41"/>
        <v>java|A1b|B1b|B2c|C1a</v>
      </c>
      <c r="S395" t="str">
        <f t="shared" si="42"/>
        <v>-</v>
      </c>
      <c r="T395" t="str">
        <f t="shared" si="37"/>
        <v>same</v>
      </c>
      <c r="U395" t="str">
        <f t="shared" si="38"/>
        <v/>
      </c>
      <c r="V395" t="str">
        <f t="shared" si="39"/>
        <v/>
      </c>
      <c r="W395" t="str">
        <f t="shared" si="40"/>
        <v/>
      </c>
    </row>
    <row r="396" spans="1:23" x14ac:dyDescent="0.3">
      <c r="A396" t="s">
        <v>847</v>
      </c>
      <c r="B396" s="1">
        <v>46273.394388321758</v>
      </c>
      <c r="C396" t="s">
        <v>519</v>
      </c>
      <c r="D396" t="s">
        <v>92</v>
      </c>
      <c r="E396" t="s">
        <v>47</v>
      </c>
      <c r="F396" t="s">
        <v>42</v>
      </c>
      <c r="G396" t="s">
        <v>238</v>
      </c>
      <c r="H396" t="s">
        <v>813</v>
      </c>
      <c r="I396" t="s">
        <v>49</v>
      </c>
      <c r="K396" t="s">
        <v>49</v>
      </c>
      <c r="L396" t="s">
        <v>49</v>
      </c>
      <c r="N396" t="s">
        <v>49</v>
      </c>
      <c r="O396" t="s">
        <v>49</v>
      </c>
      <c r="P396" t="s">
        <v>721</v>
      </c>
      <c r="R396" s="2" t="str">
        <f t="shared" si="41"/>
        <v>java|A1b|B1b|B2c|C1b</v>
      </c>
      <c r="S396" t="str">
        <f t="shared" si="42"/>
        <v>-</v>
      </c>
      <c r="T396" t="str">
        <f t="shared" si="37"/>
        <v/>
      </c>
      <c r="U396" t="str">
        <f t="shared" si="38"/>
        <v/>
      </c>
      <c r="V396" t="str">
        <f t="shared" si="39"/>
        <v/>
      </c>
      <c r="W396" t="str">
        <f t="shared" si="40"/>
        <v/>
      </c>
    </row>
    <row r="397" spans="1:23" x14ac:dyDescent="0.3">
      <c r="A397" t="s">
        <v>848</v>
      </c>
      <c r="B397" s="1">
        <v>46273.394389050925</v>
      </c>
      <c r="C397" t="s">
        <v>519</v>
      </c>
      <c r="D397" t="s">
        <v>92</v>
      </c>
      <c r="E397" t="s">
        <v>47</v>
      </c>
      <c r="F397" t="s">
        <v>42</v>
      </c>
      <c r="G397" t="s">
        <v>31</v>
      </c>
      <c r="H397" t="s">
        <v>813</v>
      </c>
      <c r="I397" t="s">
        <v>49</v>
      </c>
      <c r="K397" t="s">
        <v>49</v>
      </c>
      <c r="L397" t="s">
        <v>49</v>
      </c>
      <c r="N397" t="s">
        <v>49</v>
      </c>
      <c r="O397" t="s">
        <v>49</v>
      </c>
      <c r="P397" t="s">
        <v>721</v>
      </c>
      <c r="R397" s="2" t="str">
        <f t="shared" si="41"/>
        <v>java|A1b|B1b|B2c|C1c</v>
      </c>
      <c r="S397" t="str">
        <f t="shared" si="42"/>
        <v>-</v>
      </c>
      <c r="T397" t="str">
        <f t="shared" si="37"/>
        <v/>
      </c>
      <c r="U397" t="str">
        <f t="shared" si="38"/>
        <v/>
      </c>
      <c r="V397" t="str">
        <f t="shared" si="39"/>
        <v/>
      </c>
      <c r="W397" t="str">
        <f t="shared" si="40"/>
        <v/>
      </c>
    </row>
    <row r="398" spans="1:23" x14ac:dyDescent="0.3">
      <c r="A398" t="s">
        <v>849</v>
      </c>
      <c r="B398" s="1">
        <v>46273.394389594905</v>
      </c>
      <c r="C398" t="s">
        <v>519</v>
      </c>
      <c r="D398" t="s">
        <v>92</v>
      </c>
      <c r="E398" t="s">
        <v>64</v>
      </c>
      <c r="F398" t="s">
        <v>42</v>
      </c>
      <c r="G398" t="s">
        <v>22</v>
      </c>
      <c r="H398" t="s">
        <v>813</v>
      </c>
      <c r="I398" t="s">
        <v>49</v>
      </c>
      <c r="K398" t="s">
        <v>49</v>
      </c>
      <c r="L398" t="s">
        <v>49</v>
      </c>
      <c r="N398" t="s">
        <v>49</v>
      </c>
      <c r="O398" t="s">
        <v>49</v>
      </c>
      <c r="P398" t="s">
        <v>721</v>
      </c>
      <c r="R398" s="2" t="str">
        <f t="shared" si="41"/>
        <v>java|A1b|B1c|B2c|C1a</v>
      </c>
      <c r="S398" t="str">
        <f t="shared" si="42"/>
        <v>-</v>
      </c>
      <c r="T398" t="str">
        <f t="shared" si="37"/>
        <v>same</v>
      </c>
      <c r="U398" t="str">
        <f t="shared" si="38"/>
        <v/>
      </c>
      <c r="V398" t="str">
        <f t="shared" si="39"/>
        <v/>
      </c>
      <c r="W398" t="str">
        <f t="shared" si="40"/>
        <v/>
      </c>
    </row>
    <row r="399" spans="1:23" x14ac:dyDescent="0.3">
      <c r="A399" t="s">
        <v>850</v>
      </c>
      <c r="B399" s="1">
        <v>46273.394390162037</v>
      </c>
      <c r="C399" t="s">
        <v>519</v>
      </c>
      <c r="D399" t="s">
        <v>92</v>
      </c>
      <c r="E399" t="s">
        <v>64</v>
      </c>
      <c r="F399" t="s">
        <v>42</v>
      </c>
      <c r="G399" t="s">
        <v>238</v>
      </c>
      <c r="H399" t="s">
        <v>813</v>
      </c>
      <c r="I399" t="s">
        <v>49</v>
      </c>
      <c r="K399" t="s">
        <v>49</v>
      </c>
      <c r="L399" t="s">
        <v>49</v>
      </c>
      <c r="N399" t="s">
        <v>49</v>
      </c>
      <c r="O399" t="s">
        <v>49</v>
      </c>
      <c r="P399" t="s">
        <v>721</v>
      </c>
      <c r="R399" s="2" t="str">
        <f t="shared" si="41"/>
        <v>java|A1b|B1c|B2c|C1b</v>
      </c>
      <c r="S399" t="str">
        <f t="shared" si="42"/>
        <v>-</v>
      </c>
      <c r="T399" t="str">
        <f t="shared" si="37"/>
        <v/>
      </c>
      <c r="U399" t="str">
        <f t="shared" si="38"/>
        <v/>
      </c>
      <c r="V399" t="str">
        <f t="shared" si="39"/>
        <v/>
      </c>
      <c r="W399" t="str">
        <f t="shared" si="40"/>
        <v/>
      </c>
    </row>
    <row r="400" spans="1:23" x14ac:dyDescent="0.3">
      <c r="A400" t="s">
        <v>851</v>
      </c>
      <c r="B400" s="1">
        <v>46273.394390694448</v>
      </c>
      <c r="C400" t="s">
        <v>519</v>
      </c>
      <c r="D400" t="s">
        <v>92</v>
      </c>
      <c r="E400" t="s">
        <v>64</v>
      </c>
      <c r="F400" t="s">
        <v>42</v>
      </c>
      <c r="G400" t="s">
        <v>31</v>
      </c>
      <c r="H400" t="s">
        <v>813</v>
      </c>
      <c r="I400" t="s">
        <v>49</v>
      </c>
      <c r="K400" t="s">
        <v>49</v>
      </c>
      <c r="L400" t="s">
        <v>49</v>
      </c>
      <c r="N400" t="s">
        <v>49</v>
      </c>
      <c r="O400" t="s">
        <v>49</v>
      </c>
      <c r="P400" t="s">
        <v>721</v>
      </c>
      <c r="R400" s="2" t="str">
        <f t="shared" si="41"/>
        <v>java|A1b|B1c|B2c|C1c</v>
      </c>
      <c r="S400" t="str">
        <f t="shared" si="42"/>
        <v>-</v>
      </c>
      <c r="T400" t="str">
        <f t="shared" si="37"/>
        <v/>
      </c>
      <c r="U400" t="str">
        <f t="shared" si="38"/>
        <v/>
      </c>
      <c r="V400" t="str">
        <f t="shared" si="39"/>
        <v/>
      </c>
      <c r="W400" t="str">
        <f t="shared" si="40"/>
        <v/>
      </c>
    </row>
    <row r="401" spans="1:23" x14ac:dyDescent="0.3">
      <c r="A401" t="s">
        <v>852</v>
      </c>
      <c r="B401" s="1">
        <v>46273.394391412039</v>
      </c>
      <c r="C401" t="s">
        <v>519</v>
      </c>
      <c r="D401" t="s">
        <v>92</v>
      </c>
      <c r="E401" t="s">
        <v>79</v>
      </c>
      <c r="F401" t="s">
        <v>42</v>
      </c>
      <c r="G401" t="s">
        <v>22</v>
      </c>
      <c r="H401" t="s">
        <v>813</v>
      </c>
      <c r="I401" t="s">
        <v>49</v>
      </c>
      <c r="K401" t="s">
        <v>49</v>
      </c>
      <c r="L401" t="s">
        <v>49</v>
      </c>
      <c r="N401" t="s">
        <v>49</v>
      </c>
      <c r="O401" t="s">
        <v>49</v>
      </c>
      <c r="P401" t="s">
        <v>721</v>
      </c>
      <c r="R401" s="2" t="str">
        <f t="shared" si="41"/>
        <v>java|A1b|B1d|B2c|C1a</v>
      </c>
      <c r="S401" t="str">
        <f t="shared" si="42"/>
        <v>-</v>
      </c>
      <c r="T401" t="str">
        <f t="shared" si="37"/>
        <v>same</v>
      </c>
      <c r="U401" t="str">
        <f t="shared" si="38"/>
        <v/>
      </c>
      <c r="V401" t="str">
        <f t="shared" si="39"/>
        <v/>
      </c>
      <c r="W401" t="str">
        <f t="shared" si="40"/>
        <v/>
      </c>
    </row>
    <row r="402" spans="1:23" x14ac:dyDescent="0.3">
      <c r="A402" t="s">
        <v>853</v>
      </c>
      <c r="B402" s="1">
        <v>46273.394392013892</v>
      </c>
      <c r="C402" t="s">
        <v>519</v>
      </c>
      <c r="D402" t="s">
        <v>92</v>
      </c>
      <c r="E402" t="s">
        <v>79</v>
      </c>
      <c r="F402" t="s">
        <v>42</v>
      </c>
      <c r="G402" t="s">
        <v>238</v>
      </c>
      <c r="H402" t="s">
        <v>813</v>
      </c>
      <c r="I402" t="s">
        <v>49</v>
      </c>
      <c r="K402" t="s">
        <v>49</v>
      </c>
      <c r="L402" t="s">
        <v>49</v>
      </c>
      <c r="N402" t="s">
        <v>49</v>
      </c>
      <c r="O402" t="s">
        <v>49</v>
      </c>
      <c r="P402" t="s">
        <v>721</v>
      </c>
      <c r="R402" s="2" t="str">
        <f t="shared" si="41"/>
        <v>java|A1b|B1d|B2c|C1b</v>
      </c>
      <c r="S402" t="str">
        <f t="shared" si="42"/>
        <v>-</v>
      </c>
      <c r="T402" t="str">
        <f t="shared" si="37"/>
        <v/>
      </c>
      <c r="U402" t="str">
        <f t="shared" si="38"/>
        <v/>
      </c>
      <c r="V402" t="str">
        <f t="shared" si="39"/>
        <v/>
      </c>
      <c r="W402" t="str">
        <f t="shared" si="40"/>
        <v/>
      </c>
    </row>
    <row r="403" spans="1:23" x14ac:dyDescent="0.3">
      <c r="A403" t="s">
        <v>854</v>
      </c>
      <c r="B403" s="1">
        <v>46273.394392488422</v>
      </c>
      <c r="C403" t="s">
        <v>519</v>
      </c>
      <c r="D403" t="s">
        <v>92</v>
      </c>
      <c r="E403" t="s">
        <v>79</v>
      </c>
      <c r="F403" t="s">
        <v>42</v>
      </c>
      <c r="G403" t="s">
        <v>31</v>
      </c>
      <c r="H403" t="s">
        <v>813</v>
      </c>
      <c r="I403" t="s">
        <v>49</v>
      </c>
      <c r="K403" t="s">
        <v>49</v>
      </c>
      <c r="L403" t="s">
        <v>49</v>
      </c>
      <c r="N403" t="s">
        <v>49</v>
      </c>
      <c r="O403" t="s">
        <v>49</v>
      </c>
      <c r="P403" t="s">
        <v>721</v>
      </c>
      <c r="R403" s="2" t="str">
        <f t="shared" si="41"/>
        <v>java|A1b|B1d|B2c|C1c</v>
      </c>
      <c r="S403" t="str">
        <f t="shared" si="42"/>
        <v>-</v>
      </c>
      <c r="T403" t="str">
        <f t="shared" si="37"/>
        <v/>
      </c>
      <c r="U403" t="str">
        <f t="shared" si="38"/>
        <v/>
      </c>
      <c r="V403" t="str">
        <f t="shared" si="39"/>
        <v/>
      </c>
      <c r="W403" t="str">
        <f t="shared" si="40"/>
        <v/>
      </c>
    </row>
    <row r="404" spans="1:23" x14ac:dyDescent="0.3">
      <c r="A404" t="s">
        <v>855</v>
      </c>
      <c r="B404" s="1">
        <v>46273.394393194445</v>
      </c>
      <c r="C404" t="s">
        <v>519</v>
      </c>
      <c r="D404" t="s">
        <v>145</v>
      </c>
      <c r="E404" t="s">
        <v>20</v>
      </c>
      <c r="F404" t="s">
        <v>42</v>
      </c>
      <c r="G404" t="s">
        <v>22</v>
      </c>
      <c r="H404" t="s">
        <v>813</v>
      </c>
      <c r="I404" t="s">
        <v>49</v>
      </c>
      <c r="K404" t="s">
        <v>49</v>
      </c>
      <c r="L404" t="s">
        <v>49</v>
      </c>
      <c r="N404" t="s">
        <v>49</v>
      </c>
      <c r="O404" t="s">
        <v>49</v>
      </c>
      <c r="P404" t="s">
        <v>721</v>
      </c>
      <c r="R404" s="2" t="str">
        <f t="shared" si="41"/>
        <v>java|A2|B1a|B2c|C1a</v>
      </c>
      <c r="S404" t="str">
        <f t="shared" si="42"/>
        <v>-</v>
      </c>
      <c r="T404" t="str">
        <f t="shared" si="37"/>
        <v>same</v>
      </c>
      <c r="U404" t="str">
        <f t="shared" si="38"/>
        <v/>
      </c>
      <c r="V404" t="str">
        <f t="shared" si="39"/>
        <v/>
      </c>
      <c r="W404" t="str">
        <f t="shared" si="40"/>
        <v/>
      </c>
    </row>
    <row r="405" spans="1:23" x14ac:dyDescent="0.3">
      <c r="A405" t="s">
        <v>856</v>
      </c>
      <c r="B405" s="1">
        <v>46273.394393865739</v>
      </c>
      <c r="C405" t="s">
        <v>519</v>
      </c>
      <c r="D405" t="s">
        <v>145</v>
      </c>
      <c r="E405" t="s">
        <v>20</v>
      </c>
      <c r="F405" t="s">
        <v>42</v>
      </c>
      <c r="G405" t="s">
        <v>238</v>
      </c>
      <c r="H405" t="s">
        <v>813</v>
      </c>
      <c r="I405" t="s">
        <v>49</v>
      </c>
      <c r="K405" t="s">
        <v>49</v>
      </c>
      <c r="L405" t="s">
        <v>49</v>
      </c>
      <c r="N405" t="s">
        <v>49</v>
      </c>
      <c r="O405" t="s">
        <v>49</v>
      </c>
      <c r="P405" t="s">
        <v>721</v>
      </c>
      <c r="R405" s="2" t="str">
        <f t="shared" si="41"/>
        <v>java|A2|B1a|B2c|C1b</v>
      </c>
      <c r="S405" t="str">
        <f t="shared" si="42"/>
        <v>-</v>
      </c>
      <c r="T405" t="str">
        <f t="shared" si="37"/>
        <v/>
      </c>
      <c r="U405" t="str">
        <f t="shared" si="38"/>
        <v/>
      </c>
      <c r="V405" t="str">
        <f t="shared" si="39"/>
        <v/>
      </c>
      <c r="W405" t="str">
        <f t="shared" si="40"/>
        <v/>
      </c>
    </row>
    <row r="406" spans="1:23" x14ac:dyDescent="0.3">
      <c r="A406" t="s">
        <v>857</v>
      </c>
      <c r="B406" s="1">
        <v>46273.394394444447</v>
      </c>
      <c r="C406" t="s">
        <v>519</v>
      </c>
      <c r="D406" t="s">
        <v>145</v>
      </c>
      <c r="E406" t="s">
        <v>20</v>
      </c>
      <c r="F406" t="s">
        <v>42</v>
      </c>
      <c r="G406" t="s">
        <v>31</v>
      </c>
      <c r="H406" t="s">
        <v>813</v>
      </c>
      <c r="I406" t="s">
        <v>49</v>
      </c>
      <c r="K406" t="s">
        <v>49</v>
      </c>
      <c r="L406" t="s">
        <v>49</v>
      </c>
      <c r="N406" t="s">
        <v>49</v>
      </c>
      <c r="O406" t="s">
        <v>49</v>
      </c>
      <c r="P406" t="s">
        <v>721</v>
      </c>
      <c r="R406" s="2" t="str">
        <f t="shared" si="41"/>
        <v>java|A2|B1a|B2c|C1c</v>
      </c>
      <c r="S406" t="str">
        <f t="shared" si="42"/>
        <v>-</v>
      </c>
      <c r="T406" t="str">
        <f t="shared" si="37"/>
        <v/>
      </c>
      <c r="U406" t="str">
        <f t="shared" si="38"/>
        <v/>
      </c>
      <c r="V406" t="str">
        <f t="shared" si="39"/>
        <v/>
      </c>
      <c r="W406" t="str">
        <f t="shared" si="40"/>
        <v/>
      </c>
    </row>
    <row r="407" spans="1:23" x14ac:dyDescent="0.3">
      <c r="A407" t="s">
        <v>858</v>
      </c>
      <c r="B407" s="1">
        <v>46273.394394953706</v>
      </c>
      <c r="C407" t="s">
        <v>519</v>
      </c>
      <c r="D407" t="s">
        <v>145</v>
      </c>
      <c r="E407" t="s">
        <v>47</v>
      </c>
      <c r="F407" t="s">
        <v>42</v>
      </c>
      <c r="G407" t="s">
        <v>22</v>
      </c>
      <c r="H407" t="s">
        <v>813</v>
      </c>
      <c r="I407" t="s">
        <v>49</v>
      </c>
      <c r="K407" t="s">
        <v>49</v>
      </c>
      <c r="L407" t="s">
        <v>49</v>
      </c>
      <c r="N407" t="s">
        <v>49</v>
      </c>
      <c r="O407" t="s">
        <v>49</v>
      </c>
      <c r="P407" t="s">
        <v>721</v>
      </c>
      <c r="R407" s="2" t="str">
        <f t="shared" si="41"/>
        <v>java|A2|B1b|B2c|C1a</v>
      </c>
      <c r="S407" t="str">
        <f t="shared" si="42"/>
        <v>-</v>
      </c>
      <c r="T407" t="str">
        <f t="shared" si="37"/>
        <v>same</v>
      </c>
      <c r="U407" t="str">
        <f t="shared" si="38"/>
        <v/>
      </c>
      <c r="V407" t="str">
        <f t="shared" si="39"/>
        <v/>
      </c>
      <c r="W407" t="str">
        <f t="shared" si="40"/>
        <v/>
      </c>
    </row>
    <row r="408" spans="1:23" x14ac:dyDescent="0.3">
      <c r="A408" t="s">
        <v>859</v>
      </c>
      <c r="B408" s="1">
        <v>46273.394395509262</v>
      </c>
      <c r="C408" t="s">
        <v>519</v>
      </c>
      <c r="D408" t="s">
        <v>145</v>
      </c>
      <c r="E408" t="s">
        <v>47</v>
      </c>
      <c r="F408" t="s">
        <v>42</v>
      </c>
      <c r="G408" t="s">
        <v>238</v>
      </c>
      <c r="H408" t="s">
        <v>813</v>
      </c>
      <c r="I408" t="s">
        <v>49</v>
      </c>
      <c r="K408" t="s">
        <v>49</v>
      </c>
      <c r="L408" t="s">
        <v>49</v>
      </c>
      <c r="N408" t="s">
        <v>49</v>
      </c>
      <c r="O408" t="s">
        <v>49</v>
      </c>
      <c r="P408" t="s">
        <v>721</v>
      </c>
      <c r="R408" s="2" t="str">
        <f t="shared" si="41"/>
        <v>java|A2|B1b|B2c|C1b</v>
      </c>
      <c r="S408" t="str">
        <f t="shared" si="42"/>
        <v>-</v>
      </c>
      <c r="T408" t="str">
        <f t="shared" si="37"/>
        <v/>
      </c>
      <c r="U408" t="str">
        <f t="shared" si="38"/>
        <v/>
      </c>
      <c r="V408" t="str">
        <f t="shared" si="39"/>
        <v/>
      </c>
      <c r="W408" t="str">
        <f t="shared" si="40"/>
        <v/>
      </c>
    </row>
    <row r="409" spans="1:23" x14ac:dyDescent="0.3">
      <c r="A409" t="s">
        <v>860</v>
      </c>
      <c r="B409" s="1">
        <v>46273.394396192132</v>
      </c>
      <c r="C409" t="s">
        <v>519</v>
      </c>
      <c r="D409" t="s">
        <v>145</v>
      </c>
      <c r="E409" t="s">
        <v>47</v>
      </c>
      <c r="F409" t="s">
        <v>42</v>
      </c>
      <c r="G409" t="s">
        <v>31</v>
      </c>
      <c r="H409" t="s">
        <v>813</v>
      </c>
      <c r="I409" t="s">
        <v>49</v>
      </c>
      <c r="K409" t="s">
        <v>49</v>
      </c>
      <c r="L409" t="s">
        <v>49</v>
      </c>
      <c r="N409" t="s">
        <v>49</v>
      </c>
      <c r="O409" t="s">
        <v>49</v>
      </c>
      <c r="P409" t="s">
        <v>721</v>
      </c>
      <c r="R409" s="2" t="str">
        <f t="shared" si="41"/>
        <v>java|A2|B1b|B2c|C1c</v>
      </c>
      <c r="S409" t="str">
        <f t="shared" si="42"/>
        <v>-</v>
      </c>
      <c r="T409" t="str">
        <f t="shared" si="37"/>
        <v/>
      </c>
      <c r="U409" t="str">
        <f t="shared" si="38"/>
        <v/>
      </c>
      <c r="V409" t="str">
        <f t="shared" si="39"/>
        <v/>
      </c>
      <c r="W409" t="str">
        <f t="shared" si="40"/>
        <v/>
      </c>
    </row>
    <row r="410" spans="1:23" x14ac:dyDescent="0.3">
      <c r="A410" t="s">
        <v>861</v>
      </c>
      <c r="B410" s="1">
        <v>46273.394396770833</v>
      </c>
      <c r="C410" t="s">
        <v>519</v>
      </c>
      <c r="D410" t="s">
        <v>145</v>
      </c>
      <c r="E410" t="s">
        <v>64</v>
      </c>
      <c r="F410" t="s">
        <v>42</v>
      </c>
      <c r="G410" t="s">
        <v>22</v>
      </c>
      <c r="H410" t="s">
        <v>813</v>
      </c>
      <c r="I410" t="s">
        <v>49</v>
      </c>
      <c r="K410" t="s">
        <v>49</v>
      </c>
      <c r="L410" t="s">
        <v>49</v>
      </c>
      <c r="N410" t="s">
        <v>49</v>
      </c>
      <c r="O410" t="s">
        <v>49</v>
      </c>
      <c r="P410" t="s">
        <v>721</v>
      </c>
      <c r="R410" s="2" t="str">
        <f t="shared" si="41"/>
        <v>java|A2|B1c|B2c|C1a</v>
      </c>
      <c r="S410" t="str">
        <f t="shared" si="42"/>
        <v>-</v>
      </c>
      <c r="T410" t="str">
        <f t="shared" si="37"/>
        <v>same</v>
      </c>
      <c r="U410" t="str">
        <f t="shared" si="38"/>
        <v/>
      </c>
      <c r="V410" t="str">
        <f t="shared" si="39"/>
        <v/>
      </c>
      <c r="W410" t="str">
        <f t="shared" si="40"/>
        <v/>
      </c>
    </row>
    <row r="411" spans="1:23" x14ac:dyDescent="0.3">
      <c r="A411" t="s">
        <v>862</v>
      </c>
      <c r="B411" s="1">
        <v>46273.394397465279</v>
      </c>
      <c r="C411" t="s">
        <v>519</v>
      </c>
      <c r="D411" t="s">
        <v>145</v>
      </c>
      <c r="E411" t="s">
        <v>64</v>
      </c>
      <c r="F411" t="s">
        <v>42</v>
      </c>
      <c r="G411" t="s">
        <v>238</v>
      </c>
      <c r="H411" t="s">
        <v>813</v>
      </c>
      <c r="I411" t="s">
        <v>49</v>
      </c>
      <c r="K411" t="s">
        <v>49</v>
      </c>
      <c r="L411" t="s">
        <v>49</v>
      </c>
      <c r="N411" t="s">
        <v>49</v>
      </c>
      <c r="O411" t="s">
        <v>49</v>
      </c>
      <c r="P411" t="s">
        <v>721</v>
      </c>
      <c r="R411" s="2" t="str">
        <f t="shared" si="41"/>
        <v>java|A2|B1c|B2c|C1b</v>
      </c>
      <c r="S411" t="str">
        <f t="shared" si="42"/>
        <v>-</v>
      </c>
      <c r="T411" t="str">
        <f t="shared" si="37"/>
        <v/>
      </c>
      <c r="U411" t="str">
        <f t="shared" si="38"/>
        <v/>
      </c>
      <c r="V411" t="str">
        <f t="shared" si="39"/>
        <v/>
      </c>
      <c r="W411" t="str">
        <f t="shared" si="40"/>
        <v/>
      </c>
    </row>
    <row r="412" spans="1:23" x14ac:dyDescent="0.3">
      <c r="A412" t="s">
        <v>863</v>
      </c>
      <c r="B412" s="1">
        <v>46273.394398009259</v>
      </c>
      <c r="C412" t="s">
        <v>519</v>
      </c>
      <c r="D412" t="s">
        <v>145</v>
      </c>
      <c r="E412" t="s">
        <v>64</v>
      </c>
      <c r="F412" t="s">
        <v>42</v>
      </c>
      <c r="G412" t="s">
        <v>31</v>
      </c>
      <c r="H412" t="s">
        <v>813</v>
      </c>
      <c r="I412" t="s">
        <v>49</v>
      </c>
      <c r="K412" t="s">
        <v>49</v>
      </c>
      <c r="L412" t="s">
        <v>49</v>
      </c>
      <c r="N412" t="s">
        <v>49</v>
      </c>
      <c r="O412" t="s">
        <v>49</v>
      </c>
      <c r="P412" t="s">
        <v>721</v>
      </c>
      <c r="R412" s="2" t="str">
        <f t="shared" si="41"/>
        <v>java|A2|B1c|B2c|C1c</v>
      </c>
      <c r="S412" t="str">
        <f t="shared" si="42"/>
        <v>-</v>
      </c>
      <c r="T412" t="str">
        <f t="shared" si="37"/>
        <v/>
      </c>
      <c r="U412" t="str">
        <f t="shared" si="38"/>
        <v/>
      </c>
      <c r="V412" t="str">
        <f t="shared" si="39"/>
        <v/>
      </c>
      <c r="W412" t="str">
        <f t="shared" si="40"/>
        <v/>
      </c>
    </row>
    <row r="413" spans="1:23" x14ac:dyDescent="0.3">
      <c r="A413" t="s">
        <v>864</v>
      </c>
      <c r="B413" s="1">
        <v>46273.394398506942</v>
      </c>
      <c r="C413" t="s">
        <v>519</v>
      </c>
      <c r="D413" t="s">
        <v>145</v>
      </c>
      <c r="E413" t="s">
        <v>79</v>
      </c>
      <c r="F413" t="s">
        <v>42</v>
      </c>
      <c r="G413" t="s">
        <v>22</v>
      </c>
      <c r="H413" t="s">
        <v>813</v>
      </c>
      <c r="I413" t="s">
        <v>49</v>
      </c>
      <c r="K413" t="s">
        <v>49</v>
      </c>
      <c r="L413" t="s">
        <v>49</v>
      </c>
      <c r="N413" t="s">
        <v>49</v>
      </c>
      <c r="O413" t="s">
        <v>49</v>
      </c>
      <c r="P413" t="s">
        <v>721</v>
      </c>
      <c r="R413" s="2" t="str">
        <f t="shared" si="41"/>
        <v>java|A2|B1d|B2c|C1a</v>
      </c>
      <c r="S413" t="str">
        <f t="shared" si="42"/>
        <v>-</v>
      </c>
      <c r="T413" t="str">
        <f t="shared" si="37"/>
        <v>same</v>
      </c>
      <c r="U413" t="str">
        <f t="shared" si="38"/>
        <v/>
      </c>
      <c r="V413" t="str">
        <f t="shared" si="39"/>
        <v/>
      </c>
      <c r="W413" t="str">
        <f t="shared" si="40"/>
        <v/>
      </c>
    </row>
    <row r="414" spans="1:23" x14ac:dyDescent="0.3">
      <c r="A414" t="s">
        <v>865</v>
      </c>
      <c r="B414" s="1">
        <v>46273.39439927083</v>
      </c>
      <c r="C414" t="s">
        <v>519</v>
      </c>
      <c r="D414" t="s">
        <v>145</v>
      </c>
      <c r="E414" t="s">
        <v>79</v>
      </c>
      <c r="F414" t="s">
        <v>42</v>
      </c>
      <c r="G414" t="s">
        <v>238</v>
      </c>
      <c r="H414" t="s">
        <v>813</v>
      </c>
      <c r="I414" t="s">
        <v>49</v>
      </c>
      <c r="K414" t="s">
        <v>49</v>
      </c>
      <c r="L414" t="s">
        <v>49</v>
      </c>
      <c r="N414" t="s">
        <v>49</v>
      </c>
      <c r="O414" t="s">
        <v>49</v>
      </c>
      <c r="P414" t="s">
        <v>721</v>
      </c>
      <c r="R414" s="2" t="str">
        <f t="shared" si="41"/>
        <v>java|A2|B1d|B2c|C1b</v>
      </c>
      <c r="S414" t="str">
        <f t="shared" si="42"/>
        <v>-</v>
      </c>
      <c r="T414" t="str">
        <f t="shared" si="37"/>
        <v/>
      </c>
      <c r="U414" t="str">
        <f t="shared" si="38"/>
        <v/>
      </c>
      <c r="V414" t="str">
        <f t="shared" si="39"/>
        <v/>
      </c>
      <c r="W414" t="str">
        <f t="shared" si="40"/>
        <v/>
      </c>
    </row>
    <row r="415" spans="1:23" x14ac:dyDescent="0.3">
      <c r="A415" t="s">
        <v>866</v>
      </c>
      <c r="B415" s="1">
        <v>46273.394399884259</v>
      </c>
      <c r="C415" t="s">
        <v>519</v>
      </c>
      <c r="D415" t="s">
        <v>145</v>
      </c>
      <c r="E415" t="s">
        <v>79</v>
      </c>
      <c r="F415" t="s">
        <v>42</v>
      </c>
      <c r="G415" t="s">
        <v>31</v>
      </c>
      <c r="H415" t="s">
        <v>813</v>
      </c>
      <c r="I415" t="s">
        <v>49</v>
      </c>
      <c r="K415" t="s">
        <v>49</v>
      </c>
      <c r="L415" t="s">
        <v>49</v>
      </c>
      <c r="N415" t="s">
        <v>49</v>
      </c>
      <c r="O415" t="s">
        <v>49</v>
      </c>
      <c r="P415" t="s">
        <v>721</v>
      </c>
      <c r="R415" s="2" t="str">
        <f t="shared" si="41"/>
        <v>java|A2|B1d|B2c|C1c</v>
      </c>
      <c r="S415" t="str">
        <f t="shared" si="42"/>
        <v>-</v>
      </c>
      <c r="T415" t="str">
        <f t="shared" si="37"/>
        <v/>
      </c>
      <c r="U415" t="str">
        <f t="shared" si="38"/>
        <v/>
      </c>
      <c r="V415" t="str">
        <f t="shared" si="39"/>
        <v/>
      </c>
      <c r="W415" t="str">
        <f t="shared" si="40"/>
        <v/>
      </c>
    </row>
    <row r="416" spans="1:23" x14ac:dyDescent="0.3">
      <c r="A416" t="s">
        <v>867</v>
      </c>
      <c r="B416" s="1">
        <v>46273.394400428238</v>
      </c>
      <c r="C416" t="s">
        <v>519</v>
      </c>
      <c r="D416" t="s">
        <v>194</v>
      </c>
      <c r="E416" t="s">
        <v>20</v>
      </c>
      <c r="F416" t="s">
        <v>42</v>
      </c>
      <c r="G416" t="s">
        <v>22</v>
      </c>
      <c r="H416" t="s">
        <v>813</v>
      </c>
      <c r="I416" t="s">
        <v>49</v>
      </c>
      <c r="K416" t="s">
        <v>49</v>
      </c>
      <c r="L416" t="s">
        <v>49</v>
      </c>
      <c r="N416" t="s">
        <v>49</v>
      </c>
      <c r="O416" t="s">
        <v>49</v>
      </c>
      <c r="P416" t="s">
        <v>721</v>
      </c>
      <c r="R416" s="2" t="str">
        <f t="shared" si="41"/>
        <v>java|A3|B1a|B2c|C1a</v>
      </c>
      <c r="S416" t="str">
        <f t="shared" si="42"/>
        <v>-</v>
      </c>
      <c r="T416" t="str">
        <f t="shared" si="37"/>
        <v>same</v>
      </c>
      <c r="U416" t="str">
        <f t="shared" si="38"/>
        <v/>
      </c>
      <c r="V416" t="str">
        <f t="shared" si="39"/>
        <v/>
      </c>
      <c r="W416" t="str">
        <f t="shared" si="40"/>
        <v/>
      </c>
    </row>
    <row r="417" spans="1:23" x14ac:dyDescent="0.3">
      <c r="A417" t="s">
        <v>868</v>
      </c>
      <c r="B417" s="1">
        <v>46273.394401018515</v>
      </c>
      <c r="C417" t="s">
        <v>519</v>
      </c>
      <c r="D417" t="s">
        <v>194</v>
      </c>
      <c r="E417" t="s">
        <v>20</v>
      </c>
      <c r="F417" t="s">
        <v>42</v>
      </c>
      <c r="G417" t="s">
        <v>238</v>
      </c>
      <c r="H417" t="s">
        <v>813</v>
      </c>
      <c r="I417" t="s">
        <v>49</v>
      </c>
      <c r="K417" t="s">
        <v>49</v>
      </c>
      <c r="L417" t="s">
        <v>49</v>
      </c>
      <c r="N417" t="s">
        <v>49</v>
      </c>
      <c r="O417" t="s">
        <v>49</v>
      </c>
      <c r="P417" t="s">
        <v>721</v>
      </c>
      <c r="R417" s="2" t="str">
        <f t="shared" si="41"/>
        <v>java|A3|B1a|B2c|C1b</v>
      </c>
      <c r="S417" t="str">
        <f t="shared" si="42"/>
        <v>-</v>
      </c>
      <c r="T417" t="str">
        <f t="shared" si="37"/>
        <v/>
      </c>
      <c r="U417" t="str">
        <f t="shared" si="38"/>
        <v/>
      </c>
      <c r="V417" t="str">
        <f t="shared" si="39"/>
        <v/>
      </c>
      <c r="W417" t="str">
        <f t="shared" si="40"/>
        <v/>
      </c>
    </row>
    <row r="418" spans="1:23" x14ac:dyDescent="0.3">
      <c r="A418" t="s">
        <v>869</v>
      </c>
      <c r="B418" s="1">
        <v>46273.394401585647</v>
      </c>
      <c r="C418" t="s">
        <v>519</v>
      </c>
      <c r="D418" t="s">
        <v>194</v>
      </c>
      <c r="E418" t="s">
        <v>20</v>
      </c>
      <c r="F418" t="s">
        <v>42</v>
      </c>
      <c r="G418" t="s">
        <v>31</v>
      </c>
      <c r="H418" t="s">
        <v>813</v>
      </c>
      <c r="I418" t="s">
        <v>49</v>
      </c>
      <c r="K418" t="s">
        <v>49</v>
      </c>
      <c r="L418" t="s">
        <v>49</v>
      </c>
      <c r="N418" t="s">
        <v>49</v>
      </c>
      <c r="O418" t="s">
        <v>49</v>
      </c>
      <c r="P418" t="s">
        <v>721</v>
      </c>
      <c r="R418" s="2" t="str">
        <f t="shared" si="41"/>
        <v>java|A3|B1a|B2c|C1c</v>
      </c>
      <c r="S418" t="str">
        <f t="shared" si="42"/>
        <v>-</v>
      </c>
      <c r="T418" t="str">
        <f t="shared" si="37"/>
        <v/>
      </c>
      <c r="U418" t="str">
        <f t="shared" si="38"/>
        <v/>
      </c>
      <c r="V418" t="str">
        <f t="shared" si="39"/>
        <v/>
      </c>
      <c r="W418" t="str">
        <f t="shared" si="40"/>
        <v/>
      </c>
    </row>
    <row r="419" spans="1:23" x14ac:dyDescent="0.3">
      <c r="A419" t="s">
        <v>870</v>
      </c>
      <c r="B419" s="1">
        <v>46273.394402291669</v>
      </c>
      <c r="C419" t="s">
        <v>519</v>
      </c>
      <c r="D419" t="s">
        <v>194</v>
      </c>
      <c r="E419" t="s">
        <v>47</v>
      </c>
      <c r="F419" t="s">
        <v>42</v>
      </c>
      <c r="G419" t="s">
        <v>22</v>
      </c>
      <c r="H419" t="s">
        <v>813</v>
      </c>
      <c r="I419" t="s">
        <v>49</v>
      </c>
      <c r="K419" t="s">
        <v>49</v>
      </c>
      <c r="L419" t="s">
        <v>49</v>
      </c>
      <c r="N419" t="s">
        <v>49</v>
      </c>
      <c r="O419" t="s">
        <v>49</v>
      </c>
      <c r="P419" t="s">
        <v>721</v>
      </c>
      <c r="R419" s="2" t="str">
        <f t="shared" si="41"/>
        <v>java|A3|B1b|B2c|C1a</v>
      </c>
      <c r="S419" t="str">
        <f t="shared" si="42"/>
        <v>-</v>
      </c>
      <c r="T419" t="str">
        <f t="shared" si="37"/>
        <v>same</v>
      </c>
      <c r="U419" t="str">
        <f t="shared" si="38"/>
        <v/>
      </c>
      <c r="V419" t="str">
        <f t="shared" si="39"/>
        <v/>
      </c>
      <c r="W419" t="str">
        <f t="shared" si="40"/>
        <v/>
      </c>
    </row>
    <row r="420" spans="1:23" x14ac:dyDescent="0.3">
      <c r="A420" t="s">
        <v>871</v>
      </c>
      <c r="B420" s="1">
        <v>46273.394402835649</v>
      </c>
      <c r="C420" t="s">
        <v>519</v>
      </c>
      <c r="D420" t="s">
        <v>194</v>
      </c>
      <c r="E420" t="s">
        <v>47</v>
      </c>
      <c r="F420" t="s">
        <v>42</v>
      </c>
      <c r="G420" t="s">
        <v>238</v>
      </c>
      <c r="H420" t="s">
        <v>813</v>
      </c>
      <c r="I420" t="s">
        <v>49</v>
      </c>
      <c r="K420" t="s">
        <v>49</v>
      </c>
      <c r="L420" t="s">
        <v>49</v>
      </c>
      <c r="N420" t="s">
        <v>49</v>
      </c>
      <c r="O420" t="s">
        <v>49</v>
      </c>
      <c r="P420" t="s">
        <v>721</v>
      </c>
      <c r="R420" s="2" t="str">
        <f t="shared" si="41"/>
        <v>java|A3|B1b|B2c|C1b</v>
      </c>
      <c r="S420" t="str">
        <f t="shared" si="42"/>
        <v>-</v>
      </c>
      <c r="T420" t="str">
        <f t="shared" si="37"/>
        <v/>
      </c>
      <c r="U420" t="str">
        <f t="shared" si="38"/>
        <v/>
      </c>
      <c r="V420" t="str">
        <f t="shared" si="39"/>
        <v/>
      </c>
      <c r="W420" t="str">
        <f t="shared" si="40"/>
        <v/>
      </c>
    </row>
    <row r="421" spans="1:23" x14ac:dyDescent="0.3">
      <c r="A421" t="s">
        <v>872</v>
      </c>
      <c r="B421" s="1">
        <v>46273.39440351852</v>
      </c>
      <c r="C421" t="s">
        <v>519</v>
      </c>
      <c r="D421" t="s">
        <v>194</v>
      </c>
      <c r="E421" t="s">
        <v>47</v>
      </c>
      <c r="F421" t="s">
        <v>42</v>
      </c>
      <c r="G421" t="s">
        <v>31</v>
      </c>
      <c r="H421" t="s">
        <v>813</v>
      </c>
      <c r="I421" t="s">
        <v>49</v>
      </c>
      <c r="K421" t="s">
        <v>49</v>
      </c>
      <c r="L421" t="s">
        <v>49</v>
      </c>
      <c r="N421" t="s">
        <v>49</v>
      </c>
      <c r="O421" t="s">
        <v>49</v>
      </c>
      <c r="P421" t="s">
        <v>721</v>
      </c>
      <c r="R421" s="2" t="str">
        <f t="shared" si="41"/>
        <v>java|A3|B1b|B2c|C1c</v>
      </c>
      <c r="S421" t="str">
        <f t="shared" si="42"/>
        <v>-</v>
      </c>
      <c r="T421" t="str">
        <f t="shared" si="37"/>
        <v/>
      </c>
      <c r="U421" t="str">
        <f t="shared" si="38"/>
        <v/>
      </c>
      <c r="V421" t="str">
        <f t="shared" si="39"/>
        <v/>
      </c>
      <c r="W421" t="str">
        <f t="shared" si="40"/>
        <v/>
      </c>
    </row>
    <row r="422" spans="1:23" x14ac:dyDescent="0.3">
      <c r="A422" t="s">
        <v>873</v>
      </c>
      <c r="B422" s="1">
        <v>46273.394404108796</v>
      </c>
      <c r="C422" t="s">
        <v>519</v>
      </c>
      <c r="D422" t="s">
        <v>194</v>
      </c>
      <c r="E422" t="s">
        <v>64</v>
      </c>
      <c r="F422" t="s">
        <v>21</v>
      </c>
      <c r="G422" t="s">
        <v>22</v>
      </c>
      <c r="H422" t="s">
        <v>813</v>
      </c>
      <c r="I422" t="s">
        <v>49</v>
      </c>
      <c r="K422" t="s">
        <v>49</v>
      </c>
      <c r="L422" t="s">
        <v>49</v>
      </c>
      <c r="N422" t="s">
        <v>49</v>
      </c>
      <c r="O422" t="s">
        <v>49</v>
      </c>
      <c r="P422" t="s">
        <v>721</v>
      </c>
      <c r="R422" s="2" t="str">
        <f t="shared" si="41"/>
        <v>java|A3|B1c|B2a|C1a</v>
      </c>
      <c r="S422" t="str">
        <f t="shared" si="42"/>
        <v>-</v>
      </c>
      <c r="T422" t="str">
        <f t="shared" si="37"/>
        <v>same</v>
      </c>
      <c r="U422" t="str">
        <f t="shared" si="38"/>
        <v/>
      </c>
      <c r="V422" t="str">
        <f t="shared" si="39"/>
        <v/>
      </c>
      <c r="W422" t="str">
        <f t="shared" si="40"/>
        <v/>
      </c>
    </row>
    <row r="423" spans="1:23" x14ac:dyDescent="0.3">
      <c r="A423" t="s">
        <v>874</v>
      </c>
      <c r="B423" s="1">
        <v>46273.394404606479</v>
      </c>
      <c r="C423" t="s">
        <v>519</v>
      </c>
      <c r="D423" t="s">
        <v>194</v>
      </c>
      <c r="E423" t="s">
        <v>64</v>
      </c>
      <c r="F423" t="s">
        <v>21</v>
      </c>
      <c r="G423" t="s">
        <v>238</v>
      </c>
      <c r="H423" t="s">
        <v>813</v>
      </c>
      <c r="I423" t="s">
        <v>49</v>
      </c>
      <c r="K423" t="s">
        <v>49</v>
      </c>
      <c r="L423" t="s">
        <v>49</v>
      </c>
      <c r="N423" t="s">
        <v>49</v>
      </c>
      <c r="O423" t="s">
        <v>49</v>
      </c>
      <c r="P423" t="s">
        <v>721</v>
      </c>
      <c r="R423" s="2" t="str">
        <f t="shared" si="41"/>
        <v>java|A3|B1c|B2a|C1b</v>
      </c>
      <c r="S423" t="str">
        <f t="shared" si="42"/>
        <v>-</v>
      </c>
      <c r="T423" t="str">
        <f t="shared" si="37"/>
        <v/>
      </c>
      <c r="U423" t="str">
        <f t="shared" si="38"/>
        <v/>
      </c>
      <c r="V423" t="str">
        <f t="shared" si="39"/>
        <v/>
      </c>
      <c r="W423" t="str">
        <f t="shared" si="40"/>
        <v/>
      </c>
    </row>
    <row r="424" spans="1:23" x14ac:dyDescent="0.3">
      <c r="A424" t="s">
        <v>875</v>
      </c>
      <c r="B424" s="1">
        <v>46273.394405324078</v>
      </c>
      <c r="C424" t="s">
        <v>519</v>
      </c>
      <c r="D424" t="s">
        <v>194</v>
      </c>
      <c r="E424" t="s">
        <v>64</v>
      </c>
      <c r="F424" t="s">
        <v>21</v>
      </c>
      <c r="G424" t="s">
        <v>31</v>
      </c>
      <c r="H424" t="s">
        <v>813</v>
      </c>
      <c r="I424" t="s">
        <v>49</v>
      </c>
      <c r="K424" t="s">
        <v>49</v>
      </c>
      <c r="L424" t="s">
        <v>49</v>
      </c>
      <c r="N424" t="s">
        <v>49</v>
      </c>
      <c r="O424" t="s">
        <v>49</v>
      </c>
      <c r="P424" t="s">
        <v>721</v>
      </c>
      <c r="R424" s="2" t="str">
        <f t="shared" si="41"/>
        <v>java|A3|B1c|B2a|C1c</v>
      </c>
      <c r="S424" t="str">
        <f t="shared" si="42"/>
        <v>-</v>
      </c>
      <c r="T424" t="str">
        <f t="shared" si="37"/>
        <v/>
      </c>
      <c r="U424" t="str">
        <f t="shared" si="38"/>
        <v/>
      </c>
      <c r="V424" t="str">
        <f t="shared" si="39"/>
        <v/>
      </c>
      <c r="W424" t="str">
        <f t="shared" si="40"/>
        <v/>
      </c>
    </row>
    <row r="425" spans="1:23" x14ac:dyDescent="0.3">
      <c r="A425" t="s">
        <v>876</v>
      </c>
      <c r="B425" s="1">
        <v>46273.394405833336</v>
      </c>
      <c r="C425" t="s">
        <v>519</v>
      </c>
      <c r="D425" t="s">
        <v>194</v>
      </c>
      <c r="E425" t="s">
        <v>64</v>
      </c>
      <c r="F425" t="s">
        <v>34</v>
      </c>
      <c r="G425" t="s">
        <v>22</v>
      </c>
      <c r="H425" t="s">
        <v>813</v>
      </c>
      <c r="I425" t="s">
        <v>49</v>
      </c>
      <c r="K425" t="s">
        <v>49</v>
      </c>
      <c r="L425" t="s">
        <v>49</v>
      </c>
      <c r="N425" t="s">
        <v>49</v>
      </c>
      <c r="O425" t="s">
        <v>49</v>
      </c>
      <c r="P425" t="s">
        <v>721</v>
      </c>
      <c r="R425" s="2" t="str">
        <f t="shared" si="41"/>
        <v>java|A3|B1c|B2b|C1a</v>
      </c>
      <c r="S425" t="str">
        <f t="shared" si="42"/>
        <v>-</v>
      </c>
      <c r="T425" t="str">
        <f t="shared" si="37"/>
        <v>same</v>
      </c>
      <c r="U425" t="str">
        <f t="shared" si="38"/>
        <v/>
      </c>
      <c r="V425" t="str">
        <f t="shared" si="39"/>
        <v/>
      </c>
      <c r="W425" t="str">
        <f t="shared" si="40"/>
        <v/>
      </c>
    </row>
    <row r="426" spans="1:23" x14ac:dyDescent="0.3">
      <c r="A426" t="s">
        <v>877</v>
      </c>
      <c r="B426" s="1">
        <v>46273.394406539352</v>
      </c>
      <c r="C426" t="s">
        <v>519</v>
      </c>
      <c r="D426" t="s">
        <v>194</v>
      </c>
      <c r="E426" t="s">
        <v>64</v>
      </c>
      <c r="F426" t="s">
        <v>34</v>
      </c>
      <c r="G426" t="s">
        <v>238</v>
      </c>
      <c r="H426" t="s">
        <v>813</v>
      </c>
      <c r="I426" t="s">
        <v>49</v>
      </c>
      <c r="K426" t="s">
        <v>49</v>
      </c>
      <c r="L426" t="s">
        <v>49</v>
      </c>
      <c r="N426" t="s">
        <v>49</v>
      </c>
      <c r="O426" t="s">
        <v>49</v>
      </c>
      <c r="P426" t="s">
        <v>721</v>
      </c>
      <c r="R426" s="2" t="str">
        <f t="shared" si="41"/>
        <v>java|A3|B1c|B2b|C1b</v>
      </c>
      <c r="S426" t="str">
        <f t="shared" si="42"/>
        <v>-</v>
      </c>
      <c r="T426" t="str">
        <f t="shared" si="37"/>
        <v/>
      </c>
      <c r="U426" t="str">
        <f t="shared" si="38"/>
        <v/>
      </c>
      <c r="V426" t="str">
        <f t="shared" si="39"/>
        <v/>
      </c>
      <c r="W426" t="str">
        <f t="shared" si="40"/>
        <v/>
      </c>
    </row>
    <row r="427" spans="1:23" x14ac:dyDescent="0.3">
      <c r="A427" t="s">
        <v>878</v>
      </c>
      <c r="B427" s="1">
        <v>46273.394407106483</v>
      </c>
      <c r="C427" t="s">
        <v>519</v>
      </c>
      <c r="D427" t="s">
        <v>194</v>
      </c>
      <c r="E427" t="s">
        <v>64</v>
      </c>
      <c r="F427" t="s">
        <v>34</v>
      </c>
      <c r="G427" t="s">
        <v>31</v>
      </c>
      <c r="H427" t="s">
        <v>813</v>
      </c>
      <c r="I427" t="s">
        <v>49</v>
      </c>
      <c r="K427" t="s">
        <v>49</v>
      </c>
      <c r="L427" t="s">
        <v>49</v>
      </c>
      <c r="N427" t="s">
        <v>49</v>
      </c>
      <c r="O427" t="s">
        <v>49</v>
      </c>
      <c r="P427" t="s">
        <v>721</v>
      </c>
      <c r="R427" s="2" t="str">
        <f t="shared" si="41"/>
        <v>java|A3|B1c|B2b|C1c</v>
      </c>
      <c r="S427" t="str">
        <f t="shared" si="42"/>
        <v>-</v>
      </c>
      <c r="T427" t="str">
        <f t="shared" si="37"/>
        <v/>
      </c>
      <c r="U427" t="str">
        <f t="shared" si="38"/>
        <v/>
      </c>
      <c r="V427" t="str">
        <f t="shared" si="39"/>
        <v/>
      </c>
      <c r="W427" t="str">
        <f t="shared" si="40"/>
        <v/>
      </c>
    </row>
    <row r="428" spans="1:23" x14ac:dyDescent="0.3">
      <c r="A428" t="s">
        <v>879</v>
      </c>
      <c r="B428" s="1">
        <v>46273.394407650463</v>
      </c>
      <c r="C428" t="s">
        <v>519</v>
      </c>
      <c r="D428" t="s">
        <v>194</v>
      </c>
      <c r="E428" t="s">
        <v>64</v>
      </c>
      <c r="F428" t="s">
        <v>42</v>
      </c>
      <c r="G428" t="s">
        <v>22</v>
      </c>
      <c r="H428" t="s">
        <v>813</v>
      </c>
      <c r="I428" t="s">
        <v>49</v>
      </c>
      <c r="K428" t="s">
        <v>49</v>
      </c>
      <c r="L428" t="s">
        <v>49</v>
      </c>
      <c r="N428" t="s">
        <v>49</v>
      </c>
      <c r="O428" t="s">
        <v>49</v>
      </c>
      <c r="P428" t="s">
        <v>721</v>
      </c>
      <c r="R428" s="2" t="str">
        <f t="shared" si="41"/>
        <v>java|A3|B1c|B2c|C1a</v>
      </c>
      <c r="S428" t="str">
        <f t="shared" si="42"/>
        <v>-</v>
      </c>
      <c r="T428" t="str">
        <f t="shared" si="37"/>
        <v>same</v>
      </c>
      <c r="U428" t="str">
        <f t="shared" si="38"/>
        <v/>
      </c>
      <c r="V428" t="str">
        <f t="shared" si="39"/>
        <v/>
      </c>
      <c r="W428" t="str">
        <f t="shared" si="40"/>
        <v/>
      </c>
    </row>
    <row r="429" spans="1:23" x14ac:dyDescent="0.3">
      <c r="A429" t="s">
        <v>880</v>
      </c>
      <c r="B429" s="1">
        <v>46273.394408356478</v>
      </c>
      <c r="C429" t="s">
        <v>519</v>
      </c>
      <c r="D429" t="s">
        <v>194</v>
      </c>
      <c r="E429" t="s">
        <v>64</v>
      </c>
      <c r="F429" t="s">
        <v>42</v>
      </c>
      <c r="G429" t="s">
        <v>238</v>
      </c>
      <c r="H429" t="s">
        <v>813</v>
      </c>
      <c r="I429" t="s">
        <v>49</v>
      </c>
      <c r="K429" t="s">
        <v>49</v>
      </c>
      <c r="L429" t="s">
        <v>49</v>
      </c>
      <c r="N429" t="s">
        <v>49</v>
      </c>
      <c r="O429" t="s">
        <v>49</v>
      </c>
      <c r="P429" t="s">
        <v>721</v>
      </c>
      <c r="R429" s="2" t="str">
        <f t="shared" si="41"/>
        <v>java|A3|B1c|B2c|C1b</v>
      </c>
      <c r="S429" t="str">
        <f t="shared" si="42"/>
        <v>-</v>
      </c>
      <c r="T429" t="str">
        <f t="shared" si="37"/>
        <v/>
      </c>
      <c r="U429" t="str">
        <f t="shared" si="38"/>
        <v/>
      </c>
      <c r="V429" t="str">
        <f t="shared" si="39"/>
        <v/>
      </c>
      <c r="W429" t="str">
        <f t="shared" si="40"/>
        <v/>
      </c>
    </row>
    <row r="430" spans="1:23" x14ac:dyDescent="0.3">
      <c r="A430" t="s">
        <v>881</v>
      </c>
      <c r="B430" s="1">
        <v>46273.394408900465</v>
      </c>
      <c r="C430" t="s">
        <v>519</v>
      </c>
      <c r="D430" t="s">
        <v>194</v>
      </c>
      <c r="E430" t="s">
        <v>64</v>
      </c>
      <c r="F430" t="s">
        <v>42</v>
      </c>
      <c r="G430" t="s">
        <v>31</v>
      </c>
      <c r="H430" t="s">
        <v>813</v>
      </c>
      <c r="I430" t="s">
        <v>49</v>
      </c>
      <c r="K430" t="s">
        <v>49</v>
      </c>
      <c r="L430" t="s">
        <v>49</v>
      </c>
      <c r="N430" t="s">
        <v>49</v>
      </c>
      <c r="O430" t="s">
        <v>49</v>
      </c>
      <c r="P430" t="s">
        <v>721</v>
      </c>
      <c r="R430" s="2" t="str">
        <f t="shared" si="41"/>
        <v>java|A3|B1c|B2c|C1c</v>
      </c>
      <c r="S430" t="str">
        <f t="shared" si="42"/>
        <v>-</v>
      </c>
      <c r="T430" t="str">
        <f t="shared" si="37"/>
        <v/>
      </c>
      <c r="U430" t="str">
        <f t="shared" si="38"/>
        <v/>
      </c>
      <c r="V430" t="str">
        <f t="shared" si="39"/>
        <v/>
      </c>
      <c r="W430" t="str">
        <f t="shared" si="40"/>
        <v/>
      </c>
    </row>
    <row r="431" spans="1:23" x14ac:dyDescent="0.3">
      <c r="A431" t="s">
        <v>882</v>
      </c>
      <c r="B431" s="1">
        <v>46273.394409421293</v>
      </c>
      <c r="C431" t="s">
        <v>519</v>
      </c>
      <c r="D431" t="s">
        <v>194</v>
      </c>
      <c r="E431" t="s">
        <v>79</v>
      </c>
      <c r="F431" t="s">
        <v>42</v>
      </c>
      <c r="G431" t="s">
        <v>22</v>
      </c>
      <c r="H431" t="s">
        <v>813</v>
      </c>
      <c r="I431" t="s">
        <v>49</v>
      </c>
      <c r="K431" t="s">
        <v>49</v>
      </c>
      <c r="L431" t="s">
        <v>49</v>
      </c>
      <c r="N431" t="s">
        <v>49</v>
      </c>
      <c r="O431" t="s">
        <v>49</v>
      </c>
      <c r="P431" t="s">
        <v>721</v>
      </c>
      <c r="R431" s="2" t="str">
        <f t="shared" si="41"/>
        <v>java|A3|B1d|B2c|C1a</v>
      </c>
      <c r="S431" t="str">
        <f t="shared" si="42"/>
        <v>-</v>
      </c>
      <c r="T431" t="str">
        <f t="shared" si="37"/>
        <v>same</v>
      </c>
      <c r="U431" t="str">
        <f t="shared" si="38"/>
        <v/>
      </c>
      <c r="V431" t="str">
        <f t="shared" si="39"/>
        <v/>
      </c>
      <c r="W431" t="str">
        <f t="shared" si="40"/>
        <v/>
      </c>
    </row>
    <row r="432" spans="1:23" x14ac:dyDescent="0.3">
      <c r="A432" t="s">
        <v>883</v>
      </c>
      <c r="B432" s="1">
        <v>46273.394410104163</v>
      </c>
      <c r="C432" t="s">
        <v>519</v>
      </c>
      <c r="D432" t="s">
        <v>194</v>
      </c>
      <c r="E432" t="s">
        <v>79</v>
      </c>
      <c r="F432" t="s">
        <v>42</v>
      </c>
      <c r="G432" t="s">
        <v>238</v>
      </c>
      <c r="H432" t="s">
        <v>813</v>
      </c>
      <c r="I432" t="s">
        <v>49</v>
      </c>
      <c r="K432" t="s">
        <v>49</v>
      </c>
      <c r="L432" t="s">
        <v>49</v>
      </c>
      <c r="N432" t="s">
        <v>49</v>
      </c>
      <c r="O432" t="s">
        <v>49</v>
      </c>
      <c r="P432" t="s">
        <v>721</v>
      </c>
      <c r="R432" s="2" t="str">
        <f t="shared" si="41"/>
        <v>java|A3|B1d|B2c|C1b</v>
      </c>
      <c r="S432" t="str">
        <f t="shared" si="42"/>
        <v>-</v>
      </c>
      <c r="T432" t="str">
        <f t="shared" si="37"/>
        <v/>
      </c>
      <c r="U432" t="str">
        <f t="shared" si="38"/>
        <v/>
      </c>
      <c r="V432" t="str">
        <f t="shared" si="39"/>
        <v/>
      </c>
      <c r="W432" t="str">
        <f t="shared" si="40"/>
        <v/>
      </c>
    </row>
    <row r="433" spans="1:23" x14ac:dyDescent="0.3">
      <c r="A433" t="s">
        <v>884</v>
      </c>
      <c r="B433" s="1">
        <v>46273.394410682871</v>
      </c>
      <c r="C433" t="s">
        <v>519</v>
      </c>
      <c r="D433" t="s">
        <v>194</v>
      </c>
      <c r="E433" t="s">
        <v>79</v>
      </c>
      <c r="F433" t="s">
        <v>42</v>
      </c>
      <c r="G433" t="s">
        <v>31</v>
      </c>
      <c r="H433" t="s">
        <v>813</v>
      </c>
      <c r="I433" t="s">
        <v>49</v>
      </c>
      <c r="K433" t="s">
        <v>49</v>
      </c>
      <c r="L433" t="s">
        <v>49</v>
      </c>
      <c r="N433" t="s">
        <v>49</v>
      </c>
      <c r="O433" t="s">
        <v>49</v>
      </c>
      <c r="P433" t="s">
        <v>721</v>
      </c>
      <c r="R433" s="2" t="str">
        <f t="shared" si="41"/>
        <v>java|A3|B1d|B2c|C1c</v>
      </c>
      <c r="S433" t="str">
        <f t="shared" si="42"/>
        <v>-</v>
      </c>
      <c r="T433" t="str">
        <f t="shared" si="37"/>
        <v/>
      </c>
      <c r="U433" t="str">
        <f t="shared" si="38"/>
        <v/>
      </c>
      <c r="V433" t="str">
        <f t="shared" si="39"/>
        <v/>
      </c>
      <c r="W433" t="str">
        <f t="shared" si="40"/>
        <v/>
      </c>
    </row>
  </sheetData>
  <phoneticPr fontId="2" type="noConversion"/>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56EE1-E1B8-4B8B-AED3-365CA61780BD}">
  <dimension ref="A1:K61"/>
  <sheetViews>
    <sheetView zoomScaleNormal="100" workbookViewId="0">
      <selection activeCell="P57" sqref="P57"/>
    </sheetView>
  </sheetViews>
  <sheetFormatPr baseColWidth="10" defaultRowHeight="14.4" x14ac:dyDescent="0.3"/>
  <sheetData>
    <row r="1" spans="1:11" x14ac:dyDescent="0.3">
      <c r="A1" t="s">
        <v>18</v>
      </c>
    </row>
    <row r="2" spans="1:11" x14ac:dyDescent="0.3">
      <c r="C2" t="s">
        <v>21</v>
      </c>
      <c r="D2" t="s">
        <v>21</v>
      </c>
      <c r="E2" t="s">
        <v>21</v>
      </c>
      <c r="F2" t="s">
        <v>34</v>
      </c>
      <c r="G2" t="s">
        <v>34</v>
      </c>
      <c r="H2" t="s">
        <v>34</v>
      </c>
      <c r="I2" t="s">
        <v>42</v>
      </c>
      <c r="J2" t="s">
        <v>42</v>
      </c>
      <c r="K2" t="s">
        <v>42</v>
      </c>
    </row>
    <row r="3" spans="1:11" x14ac:dyDescent="0.3">
      <c r="C3" t="s">
        <v>22</v>
      </c>
      <c r="D3" t="s">
        <v>238</v>
      </c>
      <c r="E3" t="s">
        <v>31</v>
      </c>
      <c r="F3" t="s">
        <v>22</v>
      </c>
      <c r="G3" t="s">
        <v>238</v>
      </c>
      <c r="H3" t="s">
        <v>31</v>
      </c>
      <c r="I3" t="s">
        <v>22</v>
      </c>
      <c r="J3" t="s">
        <v>238</v>
      </c>
      <c r="K3" t="s">
        <v>31</v>
      </c>
    </row>
    <row r="4" spans="1:11" x14ac:dyDescent="0.3">
      <c r="A4" t="s">
        <v>19</v>
      </c>
      <c r="B4" t="s">
        <v>20</v>
      </c>
      <c r="C4" t="str">
        <f>IFERROR(VLOOKUP($A$1&amp;"|"&amp;$A4&amp;"|"&amp;$B4&amp;"|"&amp;C$2&amp;"|"&amp;C$3,'results'!$R:$S,2,FALSE),"?")</f>
        <v>P</v>
      </c>
      <c r="D4" t="str">
        <f>IFERROR(VLOOKUP($A$1&amp;"|"&amp;$A4&amp;"|"&amp;$B4&amp;"|"&amp;D$2&amp;"|"&amp;D$3,'results'!$R:$S,2,FALSE),"?")</f>
        <v>P</v>
      </c>
      <c r="E4" t="str">
        <f>IFERROR(VLOOKUP($A$1&amp;"|"&amp;$A4&amp;"|"&amp;$B4&amp;"|"&amp;E$2&amp;"|"&amp;E$3,'results'!$R:$S,2,FALSE),"?")</f>
        <v>P</v>
      </c>
      <c r="F4" t="str">
        <f>IFERROR(VLOOKUP($A$1&amp;"|"&amp;$A4&amp;"|"&amp;$B4&amp;"|"&amp;F$2&amp;"|"&amp;F$3,'results'!$R:$S,2,FALSE),"?")</f>
        <v>M</v>
      </c>
      <c r="G4" t="str">
        <f>IFERROR(VLOOKUP($A$1&amp;"|"&amp;$A4&amp;"|"&amp;$B4&amp;"|"&amp;G$2&amp;"|"&amp;G$3,'results'!$R:$S,2,FALSE),"?")</f>
        <v>M</v>
      </c>
      <c r="H4" t="str">
        <f>IFERROR(VLOOKUP($A$1&amp;"|"&amp;$A4&amp;"|"&amp;$B4&amp;"|"&amp;H$2&amp;"|"&amp;H$3,'results'!$R:$S,2,FALSE),"?")</f>
        <v>M</v>
      </c>
      <c r="I4" t="str">
        <f>IFERROR(VLOOKUP($A$1&amp;"|"&amp;$A4&amp;"|"&amp;$B4&amp;"|"&amp;I$2&amp;"|"&amp;I$3,'results'!$R:$S,2,FALSE),"?")</f>
        <v>M</v>
      </c>
      <c r="J4" t="str">
        <f>IFERROR(VLOOKUP($A$1&amp;"|"&amp;$A4&amp;"|"&amp;$B4&amp;"|"&amp;J$2&amp;"|"&amp;J$3,'results'!$R:$S,2,FALSE),"?")</f>
        <v>M</v>
      </c>
      <c r="K4" t="str">
        <f>IFERROR(VLOOKUP($A$1&amp;"|"&amp;$A4&amp;"|"&amp;$B4&amp;"|"&amp;K$2&amp;"|"&amp;K$3,'results'!$R:$S,2,FALSE),"?")</f>
        <v>M</v>
      </c>
    </row>
    <row r="5" spans="1:11" x14ac:dyDescent="0.3">
      <c r="A5" t="s">
        <v>19</v>
      </c>
      <c r="B5" t="s">
        <v>47</v>
      </c>
      <c r="C5" t="str">
        <f>IFERROR(VLOOKUP($A$1&amp;"|"&amp;$A5&amp;"|"&amp;$B5&amp;"|"&amp;C$2&amp;"|"&amp;C$3,'results'!$R:$S,2,FALSE),"?")</f>
        <v>E</v>
      </c>
      <c r="D5" t="str">
        <f>IFERROR(VLOOKUP($A$1&amp;"|"&amp;$A5&amp;"|"&amp;$B5&amp;"|"&amp;D$2&amp;"|"&amp;D$3,'results'!$R:$S,2,FALSE),"?")</f>
        <v>E</v>
      </c>
      <c r="E5" t="str">
        <f>IFERROR(VLOOKUP($A$1&amp;"|"&amp;$A5&amp;"|"&amp;$B5&amp;"|"&amp;E$2&amp;"|"&amp;E$3,'results'!$R:$S,2,FALSE),"?")</f>
        <v>E</v>
      </c>
      <c r="F5" t="str">
        <f>IFERROR(VLOOKUP($A$1&amp;"|"&amp;$A5&amp;"|"&amp;$B5&amp;"|"&amp;F$2&amp;"|"&amp;F$3,'results'!$R:$S,2,FALSE),"?")</f>
        <v>M</v>
      </c>
      <c r="G5" t="str">
        <f>IFERROR(VLOOKUP($A$1&amp;"|"&amp;$A5&amp;"|"&amp;$B5&amp;"|"&amp;G$2&amp;"|"&amp;G$3,'results'!$R:$S,2,FALSE),"?")</f>
        <v>M</v>
      </c>
      <c r="H5" t="str">
        <f>IFERROR(VLOOKUP($A$1&amp;"|"&amp;$A5&amp;"|"&amp;$B5&amp;"|"&amp;H$2&amp;"|"&amp;H$3,'results'!$R:$S,2,FALSE),"?")</f>
        <v>M</v>
      </c>
      <c r="I5" t="str">
        <f>IFERROR(VLOOKUP($A$1&amp;"|"&amp;$A5&amp;"|"&amp;$B5&amp;"|"&amp;I$2&amp;"|"&amp;I$3,'results'!$R:$S,2,FALSE),"?")</f>
        <v>M</v>
      </c>
      <c r="J5" t="str">
        <f>IFERROR(VLOOKUP($A$1&amp;"|"&amp;$A5&amp;"|"&amp;$B5&amp;"|"&amp;J$2&amp;"|"&amp;J$3,'results'!$R:$S,2,FALSE),"?")</f>
        <v>M</v>
      </c>
      <c r="K5" t="str">
        <f>IFERROR(VLOOKUP($A$1&amp;"|"&amp;$A5&amp;"|"&amp;$B5&amp;"|"&amp;K$2&amp;"|"&amp;K$3,'results'!$R:$S,2,FALSE),"?")</f>
        <v>M</v>
      </c>
    </row>
    <row r="6" spans="1:11" x14ac:dyDescent="0.3">
      <c r="A6" t="s">
        <v>19</v>
      </c>
      <c r="B6" t="s">
        <v>64</v>
      </c>
      <c r="C6" t="str">
        <f>IFERROR(VLOOKUP($A$1&amp;"|"&amp;$A6&amp;"|"&amp;$B6&amp;"|"&amp;C$2&amp;"|"&amp;C$3,'results'!$R:$S,2,FALSE),"?")</f>
        <v>E</v>
      </c>
      <c r="D6" t="str">
        <f>IFERROR(VLOOKUP($A$1&amp;"|"&amp;$A6&amp;"|"&amp;$B6&amp;"|"&amp;D$2&amp;"|"&amp;D$3,'results'!$R:$S,2,FALSE),"?")</f>
        <v>E</v>
      </c>
      <c r="E6" t="str">
        <f>IFERROR(VLOOKUP($A$1&amp;"|"&amp;$A6&amp;"|"&amp;$B6&amp;"|"&amp;E$2&amp;"|"&amp;E$3,'results'!$R:$S,2,FALSE),"?")</f>
        <v>E</v>
      </c>
      <c r="F6" t="str">
        <f>IFERROR(VLOOKUP($A$1&amp;"|"&amp;$A6&amp;"|"&amp;$B6&amp;"|"&amp;F$2&amp;"|"&amp;F$3,'results'!$R:$S,2,FALSE),"?")</f>
        <v>M</v>
      </c>
      <c r="G6" t="str">
        <f>IFERROR(VLOOKUP($A$1&amp;"|"&amp;$A6&amp;"|"&amp;$B6&amp;"|"&amp;G$2&amp;"|"&amp;G$3,'results'!$R:$S,2,FALSE),"?")</f>
        <v>M</v>
      </c>
      <c r="H6" t="str">
        <f>IFERROR(VLOOKUP($A$1&amp;"|"&amp;$A6&amp;"|"&amp;$B6&amp;"|"&amp;H$2&amp;"|"&amp;H$3,'results'!$R:$S,2,FALSE),"?")</f>
        <v>M</v>
      </c>
      <c r="I6" t="str">
        <f>IFERROR(VLOOKUP($A$1&amp;"|"&amp;$A6&amp;"|"&amp;$B6&amp;"|"&amp;I$2&amp;"|"&amp;I$3,'results'!$R:$S,2,FALSE),"?")</f>
        <v>M</v>
      </c>
      <c r="J6" t="str">
        <f>IFERROR(VLOOKUP($A$1&amp;"|"&amp;$A6&amp;"|"&amp;$B6&amp;"|"&amp;J$2&amp;"|"&amp;J$3,'results'!$R:$S,2,FALSE),"?")</f>
        <v>M</v>
      </c>
      <c r="K6" t="str">
        <f>IFERROR(VLOOKUP($A$1&amp;"|"&amp;$A6&amp;"|"&amp;$B6&amp;"|"&amp;K$2&amp;"|"&amp;K$3,'results'!$R:$S,2,FALSE),"?")</f>
        <v>M</v>
      </c>
    </row>
    <row r="7" spans="1:11" x14ac:dyDescent="0.3">
      <c r="A7" t="s">
        <v>19</v>
      </c>
      <c r="B7" t="s">
        <v>79</v>
      </c>
      <c r="C7" t="str">
        <f>IFERROR(VLOOKUP($A$1&amp;"|"&amp;$A7&amp;"|"&amp;$B7&amp;"|"&amp;C$2&amp;"|"&amp;C$3,'results'!$R:$S,2,FALSE),"?")</f>
        <v>E</v>
      </c>
      <c r="D7" t="str">
        <f>IFERROR(VLOOKUP($A$1&amp;"|"&amp;$A7&amp;"|"&amp;$B7&amp;"|"&amp;D$2&amp;"|"&amp;D$3,'results'!$R:$S,2,FALSE),"?")</f>
        <v>E</v>
      </c>
      <c r="E7" t="str">
        <f>IFERROR(VLOOKUP($A$1&amp;"|"&amp;$A7&amp;"|"&amp;$B7&amp;"|"&amp;E$2&amp;"|"&amp;E$3,'results'!$R:$S,2,FALSE),"?")</f>
        <v>E</v>
      </c>
      <c r="F7" t="str">
        <f>IFERROR(VLOOKUP($A$1&amp;"|"&amp;$A7&amp;"|"&amp;$B7&amp;"|"&amp;F$2&amp;"|"&amp;F$3,'results'!$R:$S,2,FALSE),"?")</f>
        <v>M</v>
      </c>
      <c r="G7" t="str">
        <f>IFERROR(VLOOKUP($A$1&amp;"|"&amp;$A7&amp;"|"&amp;$B7&amp;"|"&amp;G$2&amp;"|"&amp;G$3,'results'!$R:$S,2,FALSE),"?")</f>
        <v>M</v>
      </c>
      <c r="H7" t="str">
        <f>IFERROR(VLOOKUP($A$1&amp;"|"&amp;$A7&amp;"|"&amp;$B7&amp;"|"&amp;H$2&amp;"|"&amp;H$3,'results'!$R:$S,2,FALSE),"?")</f>
        <v>M</v>
      </c>
      <c r="I7" t="str">
        <f>IFERROR(VLOOKUP($A$1&amp;"|"&amp;$A7&amp;"|"&amp;$B7&amp;"|"&amp;I$2&amp;"|"&amp;I$3,'results'!$R:$S,2,FALSE),"?")</f>
        <v>M</v>
      </c>
      <c r="J7" t="str">
        <f>IFERROR(VLOOKUP($A$1&amp;"|"&amp;$A7&amp;"|"&amp;$B7&amp;"|"&amp;J$2&amp;"|"&amp;J$3,'results'!$R:$S,2,FALSE),"?")</f>
        <v>M</v>
      </c>
      <c r="K7" t="str">
        <f>IFERROR(VLOOKUP($A$1&amp;"|"&amp;$A7&amp;"|"&amp;$B7&amp;"|"&amp;K$2&amp;"|"&amp;K$3,'results'!$R:$S,2,FALSE),"?")</f>
        <v>M</v>
      </c>
    </row>
    <row r="8" spans="1:11" x14ac:dyDescent="0.3">
      <c r="A8" t="s">
        <v>92</v>
      </c>
      <c r="B8" t="s">
        <v>20</v>
      </c>
      <c r="C8" t="str">
        <f>IFERROR(VLOOKUP($A$1&amp;"|"&amp;$A8&amp;"|"&amp;$B8&amp;"|"&amp;C$2&amp;"|"&amp;C$3,'results'!$R:$S,2,FALSE),"?")</f>
        <v>P</v>
      </c>
      <c r="D8" t="str">
        <f>IFERROR(VLOOKUP($A$1&amp;"|"&amp;$A8&amp;"|"&amp;$B8&amp;"|"&amp;D$2&amp;"|"&amp;D$3,'results'!$R:$S,2,FALSE),"?")</f>
        <v>P</v>
      </c>
      <c r="E8" t="str">
        <f>IFERROR(VLOOKUP($A$1&amp;"|"&amp;$A8&amp;"|"&amp;$B8&amp;"|"&amp;E$2&amp;"|"&amp;E$3,'results'!$R:$S,2,FALSE),"?")</f>
        <v>P</v>
      </c>
      <c r="F8" t="str">
        <f>IFERROR(VLOOKUP($A$1&amp;"|"&amp;$A8&amp;"|"&amp;$B8&amp;"|"&amp;F$2&amp;"|"&amp;F$3,'results'!$R:$S,2,FALSE),"?")</f>
        <v>M</v>
      </c>
      <c r="G8" t="str">
        <f>IFERROR(VLOOKUP($A$1&amp;"|"&amp;$A8&amp;"|"&amp;$B8&amp;"|"&amp;G$2&amp;"|"&amp;G$3,'results'!$R:$S,2,FALSE),"?")</f>
        <v>M</v>
      </c>
      <c r="H8" t="str">
        <f>IFERROR(VLOOKUP($A$1&amp;"|"&amp;$A8&amp;"|"&amp;$B8&amp;"|"&amp;H$2&amp;"|"&amp;H$3,'results'!$R:$S,2,FALSE),"?")</f>
        <v>M</v>
      </c>
      <c r="I8" t="str">
        <f>IFERROR(VLOOKUP($A$1&amp;"|"&amp;$A8&amp;"|"&amp;$B8&amp;"|"&amp;I$2&amp;"|"&amp;I$3,'results'!$R:$S,2,FALSE),"?")</f>
        <v>M</v>
      </c>
      <c r="J8" t="str">
        <f>IFERROR(VLOOKUP($A$1&amp;"|"&amp;$A8&amp;"|"&amp;$B8&amp;"|"&amp;J$2&amp;"|"&amp;J$3,'results'!$R:$S,2,FALSE),"?")</f>
        <v>M</v>
      </c>
      <c r="K8" t="str">
        <f>IFERROR(VLOOKUP($A$1&amp;"|"&amp;$A8&amp;"|"&amp;$B8&amp;"|"&amp;K$2&amp;"|"&amp;K$3,'results'!$R:$S,2,FALSE),"?")</f>
        <v>M</v>
      </c>
    </row>
    <row r="9" spans="1:11" x14ac:dyDescent="0.3">
      <c r="A9" t="s">
        <v>92</v>
      </c>
      <c r="B9" t="s">
        <v>47</v>
      </c>
      <c r="C9" t="str">
        <f>IFERROR(VLOOKUP($A$1&amp;"|"&amp;$A9&amp;"|"&amp;$B9&amp;"|"&amp;C$2&amp;"|"&amp;C$3,'results'!$R:$S,2,FALSE),"?")</f>
        <v>E</v>
      </c>
      <c r="D9" t="str">
        <f>IFERROR(VLOOKUP($A$1&amp;"|"&amp;$A9&amp;"|"&amp;$B9&amp;"|"&amp;D$2&amp;"|"&amp;D$3,'results'!$R:$S,2,FALSE),"?")</f>
        <v>E</v>
      </c>
      <c r="E9" t="str">
        <f>IFERROR(VLOOKUP($A$1&amp;"|"&amp;$A9&amp;"|"&amp;$B9&amp;"|"&amp;E$2&amp;"|"&amp;E$3,'results'!$R:$S,2,FALSE),"?")</f>
        <v>E</v>
      </c>
      <c r="F9" t="str">
        <f>IFERROR(VLOOKUP($A$1&amp;"|"&amp;$A9&amp;"|"&amp;$B9&amp;"|"&amp;F$2&amp;"|"&amp;F$3,'results'!$R:$S,2,FALSE),"?")</f>
        <v>M</v>
      </c>
      <c r="G9" t="str">
        <f>IFERROR(VLOOKUP($A$1&amp;"|"&amp;$A9&amp;"|"&amp;$B9&amp;"|"&amp;G$2&amp;"|"&amp;G$3,'results'!$R:$S,2,FALSE),"?")</f>
        <v>M</v>
      </c>
      <c r="H9" t="str">
        <f>IFERROR(VLOOKUP($A$1&amp;"|"&amp;$A9&amp;"|"&amp;$B9&amp;"|"&amp;H$2&amp;"|"&amp;H$3,'results'!$R:$S,2,FALSE),"?")</f>
        <v>M</v>
      </c>
      <c r="I9" t="str">
        <f>IFERROR(VLOOKUP($A$1&amp;"|"&amp;$A9&amp;"|"&amp;$B9&amp;"|"&amp;I$2&amp;"|"&amp;I$3,'results'!$R:$S,2,FALSE),"?")</f>
        <v>M</v>
      </c>
      <c r="J9" t="str">
        <f>IFERROR(VLOOKUP($A$1&amp;"|"&amp;$A9&amp;"|"&amp;$B9&amp;"|"&amp;J$2&amp;"|"&amp;J$3,'results'!$R:$S,2,FALSE),"?")</f>
        <v>M</v>
      </c>
      <c r="K9" t="str">
        <f>IFERROR(VLOOKUP($A$1&amp;"|"&amp;$A9&amp;"|"&amp;$B9&amp;"|"&amp;K$2&amp;"|"&amp;K$3,'results'!$R:$S,2,FALSE),"?")</f>
        <v>M</v>
      </c>
    </row>
    <row r="10" spans="1:11" x14ac:dyDescent="0.3">
      <c r="A10" t="s">
        <v>92</v>
      </c>
      <c r="B10" t="s">
        <v>64</v>
      </c>
      <c r="C10" t="str">
        <f>IFERROR(VLOOKUP($A$1&amp;"|"&amp;$A10&amp;"|"&amp;$B10&amp;"|"&amp;C$2&amp;"|"&amp;C$3,'results'!$R:$S,2,FALSE),"?")</f>
        <v>E</v>
      </c>
      <c r="D10" t="str">
        <f>IFERROR(VLOOKUP($A$1&amp;"|"&amp;$A10&amp;"|"&amp;$B10&amp;"|"&amp;D$2&amp;"|"&amp;D$3,'results'!$R:$S,2,FALSE),"?")</f>
        <v>E</v>
      </c>
      <c r="E10" t="str">
        <f>IFERROR(VLOOKUP($A$1&amp;"|"&amp;$A10&amp;"|"&amp;$B10&amp;"|"&amp;E$2&amp;"|"&amp;E$3,'results'!$R:$S,2,FALSE),"?")</f>
        <v>E</v>
      </c>
      <c r="F10" t="str">
        <f>IFERROR(VLOOKUP($A$1&amp;"|"&amp;$A10&amp;"|"&amp;$B10&amp;"|"&amp;F$2&amp;"|"&amp;F$3,'results'!$R:$S,2,FALSE),"?")</f>
        <v>M</v>
      </c>
      <c r="G10" t="str">
        <f>IFERROR(VLOOKUP($A$1&amp;"|"&amp;$A10&amp;"|"&amp;$B10&amp;"|"&amp;G$2&amp;"|"&amp;G$3,'results'!$R:$S,2,FALSE),"?")</f>
        <v>M</v>
      </c>
      <c r="H10" t="str">
        <f>IFERROR(VLOOKUP($A$1&amp;"|"&amp;$A10&amp;"|"&amp;$B10&amp;"|"&amp;H$2&amp;"|"&amp;H$3,'results'!$R:$S,2,FALSE),"?")</f>
        <v>M</v>
      </c>
      <c r="I10" t="str">
        <f>IFERROR(VLOOKUP($A$1&amp;"|"&amp;$A10&amp;"|"&amp;$B10&amp;"|"&amp;I$2&amp;"|"&amp;I$3,'results'!$R:$S,2,FALSE),"?")</f>
        <v>M</v>
      </c>
      <c r="J10" t="str">
        <f>IFERROR(VLOOKUP($A$1&amp;"|"&amp;$A10&amp;"|"&amp;$B10&amp;"|"&amp;J$2&amp;"|"&amp;J$3,'results'!$R:$S,2,FALSE),"?")</f>
        <v>M</v>
      </c>
      <c r="K10" t="str">
        <f>IFERROR(VLOOKUP($A$1&amp;"|"&amp;$A10&amp;"|"&amp;$B10&amp;"|"&amp;K$2&amp;"|"&amp;K$3,'results'!$R:$S,2,FALSE),"?")</f>
        <v>M</v>
      </c>
    </row>
    <row r="11" spans="1:11" x14ac:dyDescent="0.3">
      <c r="A11" t="s">
        <v>92</v>
      </c>
      <c r="B11" t="s">
        <v>79</v>
      </c>
      <c r="C11" t="str">
        <f>IFERROR(VLOOKUP($A$1&amp;"|"&amp;$A11&amp;"|"&amp;$B11&amp;"|"&amp;C$2&amp;"|"&amp;C$3,'results'!$R:$S,2,FALSE),"?")</f>
        <v>E</v>
      </c>
      <c r="D11" t="str">
        <f>IFERROR(VLOOKUP($A$1&amp;"|"&amp;$A11&amp;"|"&amp;$B11&amp;"|"&amp;D$2&amp;"|"&amp;D$3,'results'!$R:$S,2,FALSE),"?")</f>
        <v>E</v>
      </c>
      <c r="E11" t="str">
        <f>IFERROR(VLOOKUP($A$1&amp;"|"&amp;$A11&amp;"|"&amp;$B11&amp;"|"&amp;E$2&amp;"|"&amp;E$3,'results'!$R:$S,2,FALSE),"?")</f>
        <v>E</v>
      </c>
      <c r="F11" t="str">
        <f>IFERROR(VLOOKUP($A$1&amp;"|"&amp;$A11&amp;"|"&amp;$B11&amp;"|"&amp;F$2&amp;"|"&amp;F$3,'results'!$R:$S,2,FALSE),"?")</f>
        <v>M</v>
      </c>
      <c r="G11" t="str">
        <f>IFERROR(VLOOKUP($A$1&amp;"|"&amp;$A11&amp;"|"&amp;$B11&amp;"|"&amp;G$2&amp;"|"&amp;G$3,'results'!$R:$S,2,FALSE),"?")</f>
        <v>M</v>
      </c>
      <c r="H11" t="str">
        <f>IFERROR(VLOOKUP($A$1&amp;"|"&amp;$A11&amp;"|"&amp;$B11&amp;"|"&amp;H$2&amp;"|"&amp;H$3,'results'!$R:$S,2,FALSE),"?")</f>
        <v>M</v>
      </c>
      <c r="I11" t="str">
        <f>IFERROR(VLOOKUP($A$1&amp;"|"&amp;$A11&amp;"|"&amp;$B11&amp;"|"&amp;I$2&amp;"|"&amp;I$3,'results'!$R:$S,2,FALSE),"?")</f>
        <v>M</v>
      </c>
      <c r="J11" t="str">
        <f>IFERROR(VLOOKUP($A$1&amp;"|"&amp;$A11&amp;"|"&amp;$B11&amp;"|"&amp;J$2&amp;"|"&amp;J$3,'results'!$R:$S,2,FALSE),"?")</f>
        <v>M</v>
      </c>
      <c r="K11" t="str">
        <f>IFERROR(VLOOKUP($A$1&amp;"|"&amp;$A11&amp;"|"&amp;$B11&amp;"|"&amp;K$2&amp;"|"&amp;K$3,'results'!$R:$S,2,FALSE),"?")</f>
        <v>M</v>
      </c>
    </row>
    <row r="12" spans="1:11" x14ac:dyDescent="0.3">
      <c r="A12" t="s">
        <v>145</v>
      </c>
      <c r="B12" t="s">
        <v>20</v>
      </c>
      <c r="C12" t="str">
        <f>IFERROR(VLOOKUP($A$1&amp;"|"&amp;$A12&amp;"|"&amp;$B12&amp;"|"&amp;C$2&amp;"|"&amp;C$3,'results'!$R:$S,2,FALSE),"?")</f>
        <v>E</v>
      </c>
      <c r="D12" t="str">
        <f>IFERROR(VLOOKUP($A$1&amp;"|"&amp;$A12&amp;"|"&amp;$B12&amp;"|"&amp;D$2&amp;"|"&amp;D$3,'results'!$R:$S,2,FALSE),"?")</f>
        <v>P</v>
      </c>
      <c r="E12" t="str">
        <f>IFERROR(VLOOKUP($A$1&amp;"|"&amp;$A12&amp;"|"&amp;$B12&amp;"|"&amp;E$2&amp;"|"&amp;E$3,'results'!$R:$S,2,FALSE),"?")</f>
        <v>E</v>
      </c>
      <c r="F12" t="str">
        <f>IFERROR(VLOOKUP($A$1&amp;"|"&amp;$A12&amp;"|"&amp;$B12&amp;"|"&amp;F$2&amp;"|"&amp;F$3,'results'!$R:$S,2,FALSE),"?")</f>
        <v>E</v>
      </c>
      <c r="G12" t="str">
        <f>IFERROR(VLOOKUP($A$1&amp;"|"&amp;$A12&amp;"|"&amp;$B12&amp;"|"&amp;G$2&amp;"|"&amp;G$3,'results'!$R:$S,2,FALSE),"?")</f>
        <v>P</v>
      </c>
      <c r="H12" t="str">
        <f>IFERROR(VLOOKUP($A$1&amp;"|"&amp;$A12&amp;"|"&amp;$B12&amp;"|"&amp;H$2&amp;"|"&amp;H$3,'results'!$R:$S,2,FALSE),"?")</f>
        <v>E</v>
      </c>
      <c r="I12" t="str">
        <f>IFERROR(VLOOKUP($A$1&amp;"|"&amp;$A12&amp;"|"&amp;$B12&amp;"|"&amp;I$2&amp;"|"&amp;I$3,'results'!$R:$S,2,FALSE),"?")</f>
        <v>E</v>
      </c>
      <c r="J12" t="str">
        <f>IFERROR(VLOOKUP($A$1&amp;"|"&amp;$A12&amp;"|"&amp;$B12&amp;"|"&amp;J$2&amp;"|"&amp;J$3,'results'!$R:$S,2,FALSE),"?")</f>
        <v>P</v>
      </c>
      <c r="K12" t="str">
        <f>IFERROR(VLOOKUP($A$1&amp;"|"&amp;$A12&amp;"|"&amp;$B12&amp;"|"&amp;K$2&amp;"|"&amp;K$3,'results'!$R:$S,2,FALSE),"?")</f>
        <v>E</v>
      </c>
    </row>
    <row r="13" spans="1:11" x14ac:dyDescent="0.3">
      <c r="A13" t="s">
        <v>145</v>
      </c>
      <c r="B13" t="s">
        <v>47</v>
      </c>
      <c r="C13" t="str">
        <f>IFERROR(VLOOKUP($A$1&amp;"|"&amp;$A13&amp;"|"&amp;$B13&amp;"|"&amp;C$2&amp;"|"&amp;C$3,'results'!$R:$S,2,FALSE),"?")</f>
        <v>E</v>
      </c>
      <c r="D13" t="str">
        <f>IFERROR(VLOOKUP($A$1&amp;"|"&amp;$A13&amp;"|"&amp;$B13&amp;"|"&amp;D$2&amp;"|"&amp;D$3,'results'!$R:$S,2,FALSE),"?")</f>
        <v>E</v>
      </c>
      <c r="E13" t="str">
        <f>IFERROR(VLOOKUP($A$1&amp;"|"&amp;$A13&amp;"|"&amp;$B13&amp;"|"&amp;E$2&amp;"|"&amp;E$3,'results'!$R:$S,2,FALSE),"?")</f>
        <v>E</v>
      </c>
      <c r="F13" t="str">
        <f>IFERROR(VLOOKUP($A$1&amp;"|"&amp;$A13&amp;"|"&amp;$B13&amp;"|"&amp;F$2&amp;"|"&amp;F$3,'results'!$R:$S,2,FALSE),"?")</f>
        <v>M</v>
      </c>
      <c r="G13" t="str">
        <f>IFERROR(VLOOKUP($A$1&amp;"|"&amp;$A13&amp;"|"&amp;$B13&amp;"|"&amp;G$2&amp;"|"&amp;G$3,'results'!$R:$S,2,FALSE),"?")</f>
        <v>M</v>
      </c>
      <c r="H13" t="str">
        <f>IFERROR(VLOOKUP($A$1&amp;"|"&amp;$A13&amp;"|"&amp;$B13&amp;"|"&amp;H$2&amp;"|"&amp;H$3,'results'!$R:$S,2,FALSE),"?")</f>
        <v>M</v>
      </c>
      <c r="I13" t="str">
        <f>IFERROR(VLOOKUP($A$1&amp;"|"&amp;$A13&amp;"|"&amp;$B13&amp;"|"&amp;I$2&amp;"|"&amp;I$3,'results'!$R:$S,2,FALSE),"?")</f>
        <v>M</v>
      </c>
      <c r="J13" t="str">
        <f>IFERROR(VLOOKUP($A$1&amp;"|"&amp;$A13&amp;"|"&amp;$B13&amp;"|"&amp;J$2&amp;"|"&amp;J$3,'results'!$R:$S,2,FALSE),"?")</f>
        <v>M</v>
      </c>
      <c r="K13" t="str">
        <f>IFERROR(VLOOKUP($A$1&amp;"|"&amp;$A13&amp;"|"&amp;$B13&amp;"|"&amp;K$2&amp;"|"&amp;K$3,'results'!$R:$S,2,FALSE),"?")</f>
        <v>M</v>
      </c>
    </row>
    <row r="14" spans="1:11" x14ac:dyDescent="0.3">
      <c r="A14" t="s">
        <v>145</v>
      </c>
      <c r="B14" t="s">
        <v>64</v>
      </c>
      <c r="C14" t="str">
        <f>IFERROR(VLOOKUP($A$1&amp;"|"&amp;$A14&amp;"|"&amp;$B14&amp;"|"&amp;C$2&amp;"|"&amp;C$3,'results'!$R:$S,2,FALSE),"?")</f>
        <v>E</v>
      </c>
      <c r="D14" t="str">
        <f>IFERROR(VLOOKUP($A$1&amp;"|"&amp;$A14&amp;"|"&amp;$B14&amp;"|"&amp;D$2&amp;"|"&amp;D$3,'results'!$R:$S,2,FALSE),"?")</f>
        <v>E</v>
      </c>
      <c r="E14" t="str">
        <f>IFERROR(VLOOKUP($A$1&amp;"|"&amp;$A14&amp;"|"&amp;$B14&amp;"|"&amp;E$2&amp;"|"&amp;E$3,'results'!$R:$S,2,FALSE),"?")</f>
        <v>E</v>
      </c>
      <c r="F14" t="str">
        <f>IFERROR(VLOOKUP($A$1&amp;"|"&amp;$A14&amp;"|"&amp;$B14&amp;"|"&amp;F$2&amp;"|"&amp;F$3,'results'!$R:$S,2,FALSE),"?")</f>
        <v>M</v>
      </c>
      <c r="G14" t="str">
        <f>IFERROR(VLOOKUP($A$1&amp;"|"&amp;$A14&amp;"|"&amp;$B14&amp;"|"&amp;G$2&amp;"|"&amp;G$3,'results'!$R:$S,2,FALSE),"?")</f>
        <v>M</v>
      </c>
      <c r="H14" t="str">
        <f>IFERROR(VLOOKUP($A$1&amp;"|"&amp;$A14&amp;"|"&amp;$B14&amp;"|"&amp;H$2&amp;"|"&amp;H$3,'results'!$R:$S,2,FALSE),"?")</f>
        <v>M</v>
      </c>
      <c r="I14" t="str">
        <f>IFERROR(VLOOKUP($A$1&amp;"|"&amp;$A14&amp;"|"&amp;$B14&amp;"|"&amp;I$2&amp;"|"&amp;I$3,'results'!$R:$S,2,FALSE),"?")</f>
        <v>M</v>
      </c>
      <c r="J14" t="str">
        <f>IFERROR(VLOOKUP($A$1&amp;"|"&amp;$A14&amp;"|"&amp;$B14&amp;"|"&amp;J$2&amp;"|"&amp;J$3,'results'!$R:$S,2,FALSE),"?")</f>
        <v>M</v>
      </c>
      <c r="K14" t="str">
        <f>IFERROR(VLOOKUP($A$1&amp;"|"&amp;$A14&amp;"|"&amp;$B14&amp;"|"&amp;K$2&amp;"|"&amp;K$3,'results'!$R:$S,2,FALSE),"?")</f>
        <v>M</v>
      </c>
    </row>
    <row r="15" spans="1:11" x14ac:dyDescent="0.3">
      <c r="A15" t="s">
        <v>145</v>
      </c>
      <c r="B15" t="s">
        <v>79</v>
      </c>
      <c r="C15" t="str">
        <f>IFERROR(VLOOKUP($A$1&amp;"|"&amp;$A15&amp;"|"&amp;$B15&amp;"|"&amp;C$2&amp;"|"&amp;C$3,'results'!$R:$S,2,FALSE),"?")</f>
        <v>E</v>
      </c>
      <c r="D15" t="str">
        <f>IFERROR(VLOOKUP($A$1&amp;"|"&amp;$A15&amp;"|"&amp;$B15&amp;"|"&amp;D$2&amp;"|"&amp;D$3,'results'!$R:$S,2,FALSE),"?")</f>
        <v>E</v>
      </c>
      <c r="E15" t="str">
        <f>IFERROR(VLOOKUP($A$1&amp;"|"&amp;$A15&amp;"|"&amp;$B15&amp;"|"&amp;E$2&amp;"|"&amp;E$3,'results'!$R:$S,2,FALSE),"?")</f>
        <v>E</v>
      </c>
      <c r="F15" t="str">
        <f>IFERROR(VLOOKUP($A$1&amp;"|"&amp;$A15&amp;"|"&amp;$B15&amp;"|"&amp;F$2&amp;"|"&amp;F$3,'results'!$R:$S,2,FALSE),"?")</f>
        <v>M</v>
      </c>
      <c r="G15" t="str">
        <f>IFERROR(VLOOKUP($A$1&amp;"|"&amp;$A15&amp;"|"&amp;$B15&amp;"|"&amp;G$2&amp;"|"&amp;G$3,'results'!$R:$S,2,FALSE),"?")</f>
        <v>M</v>
      </c>
      <c r="H15" t="str">
        <f>IFERROR(VLOOKUP($A$1&amp;"|"&amp;$A15&amp;"|"&amp;$B15&amp;"|"&amp;H$2&amp;"|"&amp;H$3,'results'!$R:$S,2,FALSE),"?")</f>
        <v>M</v>
      </c>
      <c r="I15" t="str">
        <f>IFERROR(VLOOKUP($A$1&amp;"|"&amp;$A15&amp;"|"&amp;$B15&amp;"|"&amp;I$2&amp;"|"&amp;I$3,'results'!$R:$S,2,FALSE),"?")</f>
        <v>M</v>
      </c>
      <c r="J15" t="str">
        <f>IFERROR(VLOOKUP($A$1&amp;"|"&amp;$A15&amp;"|"&amp;$B15&amp;"|"&amp;J$2&amp;"|"&amp;J$3,'results'!$R:$S,2,FALSE),"?")</f>
        <v>M</v>
      </c>
      <c r="K15" t="str">
        <f>IFERROR(VLOOKUP($A$1&amp;"|"&amp;$A15&amp;"|"&amp;$B15&amp;"|"&amp;K$2&amp;"|"&amp;K$3,'results'!$R:$S,2,FALSE),"?")</f>
        <v>M</v>
      </c>
    </row>
    <row r="16" spans="1:11" x14ac:dyDescent="0.3">
      <c r="A16" t="s">
        <v>145</v>
      </c>
      <c r="B16" t="s">
        <v>20</v>
      </c>
      <c r="C16" t="str">
        <f>IFERROR(VLOOKUP($A$1&amp;"|"&amp;$A16&amp;"|"&amp;$B16&amp;"|"&amp;C$2&amp;"|"&amp;C$3,'results'!$R:$S,2,FALSE),"?")</f>
        <v>E</v>
      </c>
      <c r="D16" t="str">
        <f>IFERROR(VLOOKUP($A$1&amp;"|"&amp;$A16&amp;"|"&amp;$B16&amp;"|"&amp;D$2&amp;"|"&amp;D$3,'results'!$R:$S,2,FALSE),"?")</f>
        <v>P</v>
      </c>
      <c r="E16" t="str">
        <f>IFERROR(VLOOKUP($A$1&amp;"|"&amp;$A16&amp;"|"&amp;$B16&amp;"|"&amp;E$2&amp;"|"&amp;E$3,'results'!$R:$S,2,FALSE),"?")</f>
        <v>E</v>
      </c>
      <c r="F16" t="str">
        <f>IFERROR(VLOOKUP($A$1&amp;"|"&amp;$A16&amp;"|"&amp;$B16&amp;"|"&amp;F$2&amp;"|"&amp;F$3,'results'!$R:$S,2,FALSE),"?")</f>
        <v>E</v>
      </c>
      <c r="G16" t="str">
        <f>IFERROR(VLOOKUP($A$1&amp;"|"&amp;$A16&amp;"|"&amp;$B16&amp;"|"&amp;G$2&amp;"|"&amp;G$3,'results'!$R:$S,2,FALSE),"?")</f>
        <v>P</v>
      </c>
      <c r="H16" t="str">
        <f>IFERROR(VLOOKUP($A$1&amp;"|"&amp;$A16&amp;"|"&amp;$B16&amp;"|"&amp;H$2&amp;"|"&amp;H$3,'results'!$R:$S,2,FALSE),"?")</f>
        <v>E</v>
      </c>
      <c r="I16" t="str">
        <f>IFERROR(VLOOKUP($A$1&amp;"|"&amp;$A16&amp;"|"&amp;$B16&amp;"|"&amp;I$2&amp;"|"&amp;I$3,'results'!$R:$S,2,FALSE),"?")</f>
        <v>E</v>
      </c>
      <c r="J16" t="str">
        <f>IFERROR(VLOOKUP($A$1&amp;"|"&amp;$A16&amp;"|"&amp;$B16&amp;"|"&amp;J$2&amp;"|"&amp;J$3,'results'!$R:$S,2,FALSE),"?")</f>
        <v>P</v>
      </c>
      <c r="K16" t="str">
        <f>IFERROR(VLOOKUP($A$1&amp;"|"&amp;$A16&amp;"|"&amp;$B16&amp;"|"&amp;K$2&amp;"|"&amp;K$3,'results'!$R:$S,2,FALSE),"?")</f>
        <v>E</v>
      </c>
    </row>
    <row r="17" spans="1:11" x14ac:dyDescent="0.3">
      <c r="A17" t="s">
        <v>194</v>
      </c>
      <c r="B17" t="s">
        <v>47</v>
      </c>
      <c r="C17" t="str">
        <f>IFERROR(VLOOKUP($A$1&amp;"|"&amp;$A17&amp;"|"&amp;$B17&amp;"|"&amp;C$2&amp;"|"&amp;C$3,'results'!$R:$S,2,FALSE),"?")</f>
        <v>E</v>
      </c>
      <c r="D17" t="str">
        <f>IFERROR(VLOOKUP($A$1&amp;"|"&amp;$A17&amp;"|"&amp;$B17&amp;"|"&amp;D$2&amp;"|"&amp;D$3,'results'!$R:$S,2,FALSE),"?")</f>
        <v>E</v>
      </c>
      <c r="E17" t="str">
        <f>IFERROR(VLOOKUP($A$1&amp;"|"&amp;$A17&amp;"|"&amp;$B17&amp;"|"&amp;E$2&amp;"|"&amp;E$3,'results'!$R:$S,2,FALSE),"?")</f>
        <v>E</v>
      </c>
      <c r="F17" t="str">
        <f>IFERROR(VLOOKUP($A$1&amp;"|"&amp;$A17&amp;"|"&amp;$B17&amp;"|"&amp;F$2&amp;"|"&amp;F$3,'results'!$R:$S,2,FALSE),"?")</f>
        <v>M</v>
      </c>
      <c r="G17" t="str">
        <f>IFERROR(VLOOKUP($A$1&amp;"|"&amp;$A17&amp;"|"&amp;$B17&amp;"|"&amp;G$2&amp;"|"&amp;G$3,'results'!$R:$S,2,FALSE),"?")</f>
        <v>M</v>
      </c>
      <c r="H17" t="str">
        <f>IFERROR(VLOOKUP($A$1&amp;"|"&amp;$A17&amp;"|"&amp;$B17&amp;"|"&amp;H$2&amp;"|"&amp;H$3,'results'!$R:$S,2,FALSE),"?")</f>
        <v>M</v>
      </c>
      <c r="I17" t="str">
        <f>IFERROR(VLOOKUP($A$1&amp;"|"&amp;$A17&amp;"|"&amp;$B17&amp;"|"&amp;I$2&amp;"|"&amp;I$3,'results'!$R:$S,2,FALSE),"?")</f>
        <v>M</v>
      </c>
      <c r="J17" t="str">
        <f>IFERROR(VLOOKUP($A$1&amp;"|"&amp;$A17&amp;"|"&amp;$B17&amp;"|"&amp;J$2&amp;"|"&amp;J$3,'results'!$R:$S,2,FALSE),"?")</f>
        <v>M</v>
      </c>
      <c r="K17" t="str">
        <f>IFERROR(VLOOKUP($A$1&amp;"|"&amp;$A17&amp;"|"&amp;$B17&amp;"|"&amp;K$2&amp;"|"&amp;K$3,'results'!$R:$S,2,FALSE),"?")</f>
        <v>M</v>
      </c>
    </row>
    <row r="18" spans="1:11" x14ac:dyDescent="0.3">
      <c r="A18" t="s">
        <v>194</v>
      </c>
      <c r="B18" t="s">
        <v>64</v>
      </c>
      <c r="C18" t="str">
        <f>IFERROR(VLOOKUP($A$1&amp;"|"&amp;$A18&amp;"|"&amp;$B18&amp;"|"&amp;C$2&amp;"|"&amp;C$3,'results'!$R:$S,2,FALSE),"?")</f>
        <v>-</v>
      </c>
      <c r="D18" t="str">
        <f>IFERROR(VLOOKUP($A$1&amp;"|"&amp;$A18&amp;"|"&amp;$B18&amp;"|"&amp;D$2&amp;"|"&amp;D$3,'results'!$R:$S,2,FALSE),"?")</f>
        <v>-</v>
      </c>
      <c r="E18" t="str">
        <f>IFERROR(VLOOKUP($A$1&amp;"|"&amp;$A18&amp;"|"&amp;$B18&amp;"|"&amp;E$2&amp;"|"&amp;E$3,'results'!$R:$S,2,FALSE),"?")</f>
        <v>-</v>
      </c>
      <c r="F18" t="str">
        <f>IFERROR(VLOOKUP($A$1&amp;"|"&amp;$A18&amp;"|"&amp;$B18&amp;"|"&amp;F$2&amp;"|"&amp;F$3,'results'!$R:$S,2,FALSE),"?")</f>
        <v>-</v>
      </c>
      <c r="G18" t="str">
        <f>IFERROR(VLOOKUP($A$1&amp;"|"&amp;$A18&amp;"|"&amp;$B18&amp;"|"&amp;G$2&amp;"|"&amp;G$3,'results'!$R:$S,2,FALSE),"?")</f>
        <v>-</v>
      </c>
      <c r="H18" t="str">
        <f>IFERROR(VLOOKUP($A$1&amp;"|"&amp;$A18&amp;"|"&amp;$B18&amp;"|"&amp;H$2&amp;"|"&amp;H$3,'results'!$R:$S,2,FALSE),"?")</f>
        <v>-</v>
      </c>
      <c r="I18" t="str">
        <f>IFERROR(VLOOKUP($A$1&amp;"|"&amp;$A18&amp;"|"&amp;$B18&amp;"|"&amp;I$2&amp;"|"&amp;I$3,'results'!$R:$S,2,FALSE),"?")</f>
        <v>-</v>
      </c>
      <c r="J18" t="str">
        <f>IFERROR(VLOOKUP($A$1&amp;"|"&amp;$A18&amp;"|"&amp;$B18&amp;"|"&amp;J$2&amp;"|"&amp;J$3,'results'!$R:$S,2,FALSE),"?")</f>
        <v>-</v>
      </c>
      <c r="K18" t="str">
        <f>IFERROR(VLOOKUP($A$1&amp;"|"&amp;$A18&amp;"|"&amp;$B18&amp;"|"&amp;K$2&amp;"|"&amp;K$3,'results'!$R:$S,2,FALSE),"?")</f>
        <v>-</v>
      </c>
    </row>
    <row r="19" spans="1:11" x14ac:dyDescent="0.3">
      <c r="A19" t="s">
        <v>194</v>
      </c>
      <c r="B19" t="s">
        <v>79</v>
      </c>
      <c r="C19" t="str">
        <f>IFERROR(VLOOKUP($A$1&amp;"|"&amp;$A19&amp;"|"&amp;$B19&amp;"|"&amp;C$2&amp;"|"&amp;C$3,'results'!$R:$S,2,FALSE),"?")</f>
        <v>E</v>
      </c>
      <c r="D19" t="str">
        <f>IFERROR(VLOOKUP($A$1&amp;"|"&amp;$A19&amp;"|"&amp;$B19&amp;"|"&amp;D$2&amp;"|"&amp;D$3,'results'!$R:$S,2,FALSE),"?")</f>
        <v>E</v>
      </c>
      <c r="E19" t="str">
        <f>IFERROR(VLOOKUP($A$1&amp;"|"&amp;$A19&amp;"|"&amp;$B19&amp;"|"&amp;E$2&amp;"|"&amp;E$3,'results'!$R:$S,2,FALSE),"?")</f>
        <v>E</v>
      </c>
      <c r="F19" t="str">
        <f>IFERROR(VLOOKUP($A$1&amp;"|"&amp;$A19&amp;"|"&amp;$B19&amp;"|"&amp;F$2&amp;"|"&amp;F$3,'results'!$R:$S,2,FALSE),"?")</f>
        <v>M</v>
      </c>
      <c r="G19" t="str">
        <f>IFERROR(VLOOKUP($A$1&amp;"|"&amp;$A19&amp;"|"&amp;$B19&amp;"|"&amp;G$2&amp;"|"&amp;G$3,'results'!$R:$S,2,FALSE),"?")</f>
        <v>M</v>
      </c>
      <c r="H19" t="str">
        <f>IFERROR(VLOOKUP($A$1&amp;"|"&amp;$A19&amp;"|"&amp;$B19&amp;"|"&amp;H$2&amp;"|"&amp;H$3,'results'!$R:$S,2,FALSE),"?")</f>
        <v>M</v>
      </c>
      <c r="I19" t="str">
        <f>IFERROR(VLOOKUP($A$1&amp;"|"&amp;$A19&amp;"|"&amp;$B19&amp;"|"&amp;I$2&amp;"|"&amp;I$3,'results'!$R:$S,2,FALSE),"?")</f>
        <v>M</v>
      </c>
      <c r="J19" t="str">
        <f>IFERROR(VLOOKUP($A$1&amp;"|"&amp;$A19&amp;"|"&amp;$B19&amp;"|"&amp;J$2&amp;"|"&amp;J$3,'results'!$R:$S,2,FALSE),"?")</f>
        <v>M</v>
      </c>
      <c r="K19" t="str">
        <f>IFERROR(VLOOKUP($A$1&amp;"|"&amp;$A19&amp;"|"&amp;$B19&amp;"|"&amp;K$2&amp;"|"&amp;K$3,'results'!$R:$S,2,FALSE),"?")</f>
        <v>M</v>
      </c>
    </row>
    <row r="22" spans="1:11" x14ac:dyDescent="0.3">
      <c r="A22" t="s">
        <v>231</v>
      </c>
    </row>
    <row r="23" spans="1:11" x14ac:dyDescent="0.3">
      <c r="C23" t="s">
        <v>21</v>
      </c>
      <c r="D23" t="s">
        <v>21</v>
      </c>
      <c r="E23" t="s">
        <v>21</v>
      </c>
      <c r="F23" t="s">
        <v>34</v>
      </c>
      <c r="G23" t="s">
        <v>34</v>
      </c>
      <c r="H23" t="s">
        <v>34</v>
      </c>
      <c r="I23" t="s">
        <v>42</v>
      </c>
      <c r="J23" t="s">
        <v>42</v>
      </c>
      <c r="K23" t="s">
        <v>42</v>
      </c>
    </row>
    <row r="24" spans="1:11" x14ac:dyDescent="0.3">
      <c r="C24" t="s">
        <v>22</v>
      </c>
      <c r="D24" t="s">
        <v>238</v>
      </c>
      <c r="E24" t="s">
        <v>31</v>
      </c>
      <c r="F24" t="s">
        <v>22</v>
      </c>
      <c r="G24" t="s">
        <v>238</v>
      </c>
      <c r="H24" t="s">
        <v>31</v>
      </c>
      <c r="I24" t="s">
        <v>22</v>
      </c>
      <c r="J24" t="s">
        <v>238</v>
      </c>
      <c r="K24" t="s">
        <v>31</v>
      </c>
    </row>
    <row r="25" spans="1:11" x14ac:dyDescent="0.3">
      <c r="A25" t="s">
        <v>19</v>
      </c>
      <c r="B25" t="s">
        <v>20</v>
      </c>
      <c r="C25" t="str">
        <f>IFERROR(VLOOKUP($A$22&amp;"|"&amp;$A25&amp;"|"&amp;$B25&amp;"|"&amp;C$2&amp;"|"&amp;C$3,'results'!$R:$S,2,FALSE),"?")</f>
        <v>P</v>
      </c>
      <c r="D25" t="str">
        <f>IFERROR(VLOOKUP($A$22&amp;"|"&amp;$A25&amp;"|"&amp;$B25&amp;"|"&amp;D$2&amp;"|"&amp;D$3,'results'!$R:$S,2,FALSE),"?")</f>
        <v>P</v>
      </c>
      <c r="E25" t="str">
        <f>IFERROR(VLOOKUP($A$22&amp;"|"&amp;$A25&amp;"|"&amp;$B25&amp;"|"&amp;E$2&amp;"|"&amp;E$3,'results'!$R:$S,2,FALSE),"?")</f>
        <v>P</v>
      </c>
      <c r="F25" t="str">
        <f>IFERROR(VLOOKUP($A$22&amp;"|"&amp;$A25&amp;"|"&amp;$B25&amp;"|"&amp;F$2&amp;"|"&amp;F$3,'results'!$R:$S,2,FALSE),"?")</f>
        <v>M</v>
      </c>
      <c r="G25" t="str">
        <f>IFERROR(VLOOKUP($A$22&amp;"|"&amp;$A25&amp;"|"&amp;$B25&amp;"|"&amp;G$2&amp;"|"&amp;G$3,'results'!$R:$S,2,FALSE),"?")</f>
        <v>M</v>
      </c>
      <c r="H25" t="str">
        <f>IFERROR(VLOOKUP($A$22&amp;"|"&amp;$A25&amp;"|"&amp;$B25&amp;"|"&amp;H$2&amp;"|"&amp;H$3,'results'!$R:$S,2,FALSE),"?")</f>
        <v>M</v>
      </c>
      <c r="I25" t="str">
        <f>IFERROR(VLOOKUP($A$22&amp;"|"&amp;$A25&amp;"|"&amp;$B25&amp;"|"&amp;I$2&amp;"|"&amp;I$3,'results'!$R:$S,2,FALSE),"?")</f>
        <v>M</v>
      </c>
      <c r="J25" t="str">
        <f>IFERROR(VLOOKUP($A$22&amp;"|"&amp;$A25&amp;"|"&amp;$B25&amp;"|"&amp;J$2&amp;"|"&amp;J$3,'results'!$R:$S,2,FALSE),"?")</f>
        <v>M</v>
      </c>
      <c r="K25" t="str">
        <f>IFERROR(VLOOKUP($A$22&amp;"|"&amp;$A25&amp;"|"&amp;$B25&amp;"|"&amp;K$2&amp;"|"&amp;K$3,'results'!$R:$S,2,FALSE),"?")</f>
        <v>M</v>
      </c>
    </row>
    <row r="26" spans="1:11" x14ac:dyDescent="0.3">
      <c r="A26" t="s">
        <v>19</v>
      </c>
      <c r="B26" t="s">
        <v>47</v>
      </c>
      <c r="C26" t="str">
        <f>IFERROR(VLOOKUP($A$22&amp;"|"&amp;$A26&amp;"|"&amp;$B26&amp;"|"&amp;C$2&amp;"|"&amp;C$3,'results'!$R:$S,2,FALSE),"?")</f>
        <v>P</v>
      </c>
      <c r="D26" t="str">
        <f>IFERROR(VLOOKUP($A$22&amp;"|"&amp;$A26&amp;"|"&amp;$B26&amp;"|"&amp;D$2&amp;"|"&amp;D$3,'results'!$R:$S,2,FALSE),"?")</f>
        <v>P</v>
      </c>
      <c r="E26" t="str">
        <f>IFERROR(VLOOKUP($A$22&amp;"|"&amp;$A26&amp;"|"&amp;$B26&amp;"|"&amp;E$2&amp;"|"&amp;E$3,'results'!$R:$S,2,FALSE),"?")</f>
        <v>P</v>
      </c>
      <c r="F26" t="str">
        <f>IFERROR(VLOOKUP($A$22&amp;"|"&amp;$A26&amp;"|"&amp;$B26&amp;"|"&amp;F$2&amp;"|"&amp;F$3,'results'!$R:$S,2,FALSE),"?")</f>
        <v>M</v>
      </c>
      <c r="G26" t="str">
        <f>IFERROR(VLOOKUP($A$22&amp;"|"&amp;$A26&amp;"|"&amp;$B26&amp;"|"&amp;G$2&amp;"|"&amp;G$3,'results'!$R:$S,2,FALSE),"?")</f>
        <v>M</v>
      </c>
      <c r="H26" t="str">
        <f>IFERROR(VLOOKUP($A$22&amp;"|"&amp;$A26&amp;"|"&amp;$B26&amp;"|"&amp;H$2&amp;"|"&amp;H$3,'results'!$R:$S,2,FALSE),"?")</f>
        <v>M</v>
      </c>
      <c r="I26" t="str">
        <f>IFERROR(VLOOKUP($A$22&amp;"|"&amp;$A26&amp;"|"&amp;$B26&amp;"|"&amp;I$2&amp;"|"&amp;I$3,'results'!$R:$S,2,FALSE),"?")</f>
        <v>M</v>
      </c>
      <c r="J26" t="str">
        <f>IFERROR(VLOOKUP($A$22&amp;"|"&amp;$A26&amp;"|"&amp;$B26&amp;"|"&amp;J$2&amp;"|"&amp;J$3,'results'!$R:$S,2,FALSE),"?")</f>
        <v>M</v>
      </c>
      <c r="K26" t="str">
        <f>IFERROR(VLOOKUP($A$22&amp;"|"&amp;$A26&amp;"|"&amp;$B26&amp;"|"&amp;K$2&amp;"|"&amp;K$3,'results'!$R:$S,2,FALSE),"?")</f>
        <v>M</v>
      </c>
    </row>
    <row r="27" spans="1:11" x14ac:dyDescent="0.3">
      <c r="A27" t="s">
        <v>19</v>
      </c>
      <c r="B27" t="s">
        <v>64</v>
      </c>
      <c r="C27" t="str">
        <f>IFERROR(VLOOKUP($A$22&amp;"|"&amp;$A27&amp;"|"&amp;$B27&amp;"|"&amp;C$2&amp;"|"&amp;C$3,'results'!$R:$S,2,FALSE),"?")</f>
        <v>P</v>
      </c>
      <c r="D27" t="str">
        <f>IFERROR(VLOOKUP($A$22&amp;"|"&amp;$A27&amp;"|"&amp;$B27&amp;"|"&amp;D$2&amp;"|"&amp;D$3,'results'!$R:$S,2,FALSE),"?")</f>
        <v>P</v>
      </c>
      <c r="E27" t="str">
        <f>IFERROR(VLOOKUP($A$22&amp;"|"&amp;$A27&amp;"|"&amp;$B27&amp;"|"&amp;E$2&amp;"|"&amp;E$3,'results'!$R:$S,2,FALSE),"?")</f>
        <v>P</v>
      </c>
      <c r="F27" t="str">
        <f>IFERROR(VLOOKUP($A$22&amp;"|"&amp;$A27&amp;"|"&amp;$B27&amp;"|"&amp;F$2&amp;"|"&amp;F$3,'results'!$R:$S,2,FALSE),"?")</f>
        <v>M</v>
      </c>
      <c r="G27" t="str">
        <f>IFERROR(VLOOKUP($A$22&amp;"|"&amp;$A27&amp;"|"&amp;$B27&amp;"|"&amp;G$2&amp;"|"&amp;G$3,'results'!$R:$S,2,FALSE),"?")</f>
        <v>M</v>
      </c>
      <c r="H27" t="str">
        <f>IFERROR(VLOOKUP($A$22&amp;"|"&amp;$A27&amp;"|"&amp;$B27&amp;"|"&amp;H$2&amp;"|"&amp;H$3,'results'!$R:$S,2,FALSE),"?")</f>
        <v>M</v>
      </c>
      <c r="I27" t="str">
        <f>IFERROR(VLOOKUP($A$22&amp;"|"&amp;$A27&amp;"|"&amp;$B27&amp;"|"&amp;I$2&amp;"|"&amp;I$3,'results'!$R:$S,2,FALSE),"?")</f>
        <v>M</v>
      </c>
      <c r="J27" t="str">
        <f>IFERROR(VLOOKUP($A$22&amp;"|"&amp;$A27&amp;"|"&amp;$B27&amp;"|"&amp;J$2&amp;"|"&amp;J$3,'results'!$R:$S,2,FALSE),"?")</f>
        <v>M</v>
      </c>
      <c r="K27" t="str">
        <f>IFERROR(VLOOKUP($A$22&amp;"|"&amp;$A27&amp;"|"&amp;$B27&amp;"|"&amp;K$2&amp;"|"&amp;K$3,'results'!$R:$S,2,FALSE),"?")</f>
        <v>M</v>
      </c>
    </row>
    <row r="28" spans="1:11" x14ac:dyDescent="0.3">
      <c r="A28" t="s">
        <v>19</v>
      </c>
      <c r="B28" t="s">
        <v>79</v>
      </c>
      <c r="C28" t="str">
        <f>IFERROR(VLOOKUP($A$22&amp;"|"&amp;$A28&amp;"|"&amp;$B28&amp;"|"&amp;C$2&amp;"|"&amp;C$3,'results'!$R:$S,2,FALSE),"?")</f>
        <v>E</v>
      </c>
      <c r="D28" t="str">
        <f>IFERROR(VLOOKUP($A$22&amp;"|"&amp;$A28&amp;"|"&amp;$B28&amp;"|"&amp;D$2&amp;"|"&amp;D$3,'results'!$R:$S,2,FALSE),"?")</f>
        <v>E</v>
      </c>
      <c r="E28" t="str">
        <f>IFERROR(VLOOKUP($A$22&amp;"|"&amp;$A28&amp;"|"&amp;$B28&amp;"|"&amp;E$2&amp;"|"&amp;E$3,'results'!$R:$S,2,FALSE),"?")</f>
        <v>E</v>
      </c>
      <c r="F28" t="str">
        <f>IFERROR(VLOOKUP($A$22&amp;"|"&amp;$A28&amp;"|"&amp;$B28&amp;"|"&amp;F$2&amp;"|"&amp;F$3,'results'!$R:$S,2,FALSE),"?")</f>
        <v>M</v>
      </c>
      <c r="G28" t="str">
        <f>IFERROR(VLOOKUP($A$22&amp;"|"&amp;$A28&amp;"|"&amp;$B28&amp;"|"&amp;G$2&amp;"|"&amp;G$3,'results'!$R:$S,2,FALSE),"?")</f>
        <v>E</v>
      </c>
      <c r="H28" t="str">
        <f>IFERROR(VLOOKUP($A$22&amp;"|"&amp;$A28&amp;"|"&amp;$B28&amp;"|"&amp;H$2&amp;"|"&amp;H$3,'results'!$R:$S,2,FALSE),"?")</f>
        <v>M</v>
      </c>
      <c r="I28" t="str">
        <f>IFERROR(VLOOKUP($A$22&amp;"|"&amp;$A28&amp;"|"&amp;$B28&amp;"|"&amp;I$2&amp;"|"&amp;I$3,'results'!$R:$S,2,FALSE),"?")</f>
        <v>M</v>
      </c>
      <c r="J28" t="str">
        <f>IFERROR(VLOOKUP($A$22&amp;"|"&amp;$A28&amp;"|"&amp;$B28&amp;"|"&amp;J$2&amp;"|"&amp;J$3,'results'!$R:$S,2,FALSE),"?")</f>
        <v>E</v>
      </c>
      <c r="K28" t="str">
        <f>IFERROR(VLOOKUP($A$22&amp;"|"&amp;$A28&amp;"|"&amp;$B28&amp;"|"&amp;K$2&amp;"|"&amp;K$3,'results'!$R:$S,2,FALSE),"?")</f>
        <v>M</v>
      </c>
    </row>
    <row r="29" spans="1:11" x14ac:dyDescent="0.3">
      <c r="A29" t="s">
        <v>92</v>
      </c>
      <c r="B29" t="s">
        <v>20</v>
      </c>
      <c r="C29" t="str">
        <f>IFERROR(VLOOKUP($A$22&amp;"|"&amp;$A29&amp;"|"&amp;$B29&amp;"|"&amp;C$2&amp;"|"&amp;C$3,'results'!$R:$S,2,FALSE),"?")</f>
        <v>P</v>
      </c>
      <c r="D29" t="str">
        <f>IFERROR(VLOOKUP($A$22&amp;"|"&amp;$A29&amp;"|"&amp;$B29&amp;"|"&amp;D$2&amp;"|"&amp;D$3,'results'!$R:$S,2,FALSE),"?")</f>
        <v>P</v>
      </c>
      <c r="E29" t="str">
        <f>IFERROR(VLOOKUP($A$22&amp;"|"&amp;$A29&amp;"|"&amp;$B29&amp;"|"&amp;E$2&amp;"|"&amp;E$3,'results'!$R:$S,2,FALSE),"?")</f>
        <v>P</v>
      </c>
      <c r="F29" t="str">
        <f>IFERROR(VLOOKUP($A$22&amp;"|"&amp;$A29&amp;"|"&amp;$B29&amp;"|"&amp;F$2&amp;"|"&amp;F$3,'results'!$R:$S,2,FALSE),"?")</f>
        <v>M</v>
      </c>
      <c r="G29" t="str">
        <f>IFERROR(VLOOKUP($A$22&amp;"|"&amp;$A29&amp;"|"&amp;$B29&amp;"|"&amp;G$2&amp;"|"&amp;G$3,'results'!$R:$S,2,FALSE),"?")</f>
        <v>M</v>
      </c>
      <c r="H29" t="str">
        <f>IFERROR(VLOOKUP($A$22&amp;"|"&amp;$A29&amp;"|"&amp;$B29&amp;"|"&amp;H$2&amp;"|"&amp;H$3,'results'!$R:$S,2,FALSE),"?")</f>
        <v>M</v>
      </c>
      <c r="I29" t="str">
        <f>IFERROR(VLOOKUP($A$22&amp;"|"&amp;$A29&amp;"|"&amp;$B29&amp;"|"&amp;I$2&amp;"|"&amp;I$3,'results'!$R:$S,2,FALSE),"?")</f>
        <v>M</v>
      </c>
      <c r="J29" t="str">
        <f>IFERROR(VLOOKUP($A$22&amp;"|"&amp;$A29&amp;"|"&amp;$B29&amp;"|"&amp;J$2&amp;"|"&amp;J$3,'results'!$R:$S,2,FALSE),"?")</f>
        <v>M</v>
      </c>
      <c r="K29" t="str">
        <f>IFERROR(VLOOKUP($A$22&amp;"|"&amp;$A29&amp;"|"&amp;$B29&amp;"|"&amp;K$2&amp;"|"&amp;K$3,'results'!$R:$S,2,FALSE),"?")</f>
        <v>M</v>
      </c>
    </row>
    <row r="30" spans="1:11" x14ac:dyDescent="0.3">
      <c r="A30" t="s">
        <v>92</v>
      </c>
      <c r="B30" t="s">
        <v>47</v>
      </c>
      <c r="C30" t="str">
        <f>IFERROR(VLOOKUP($A$22&amp;"|"&amp;$A30&amp;"|"&amp;$B30&amp;"|"&amp;C$2&amp;"|"&amp;C$3,'results'!$R:$S,2,FALSE),"?")</f>
        <v>P</v>
      </c>
      <c r="D30" t="str">
        <f>IFERROR(VLOOKUP($A$22&amp;"|"&amp;$A30&amp;"|"&amp;$B30&amp;"|"&amp;D$2&amp;"|"&amp;D$3,'results'!$R:$S,2,FALSE),"?")</f>
        <v>P</v>
      </c>
      <c r="E30" t="str">
        <f>IFERROR(VLOOKUP($A$22&amp;"|"&amp;$A30&amp;"|"&amp;$B30&amp;"|"&amp;E$2&amp;"|"&amp;E$3,'results'!$R:$S,2,FALSE),"?")</f>
        <v>P</v>
      </c>
      <c r="F30" t="str">
        <f>IFERROR(VLOOKUP($A$22&amp;"|"&amp;$A30&amp;"|"&amp;$B30&amp;"|"&amp;F$2&amp;"|"&amp;F$3,'results'!$R:$S,2,FALSE),"?")</f>
        <v>M</v>
      </c>
      <c r="G30" t="str">
        <f>IFERROR(VLOOKUP($A$22&amp;"|"&amp;$A30&amp;"|"&amp;$B30&amp;"|"&amp;G$2&amp;"|"&amp;G$3,'results'!$R:$S,2,FALSE),"?")</f>
        <v>M</v>
      </c>
      <c r="H30" t="str">
        <f>IFERROR(VLOOKUP($A$22&amp;"|"&amp;$A30&amp;"|"&amp;$B30&amp;"|"&amp;H$2&amp;"|"&amp;H$3,'results'!$R:$S,2,FALSE),"?")</f>
        <v>M</v>
      </c>
      <c r="I30" t="str">
        <f>IFERROR(VLOOKUP($A$22&amp;"|"&amp;$A30&amp;"|"&amp;$B30&amp;"|"&amp;I$2&amp;"|"&amp;I$3,'results'!$R:$S,2,FALSE),"?")</f>
        <v>M</v>
      </c>
      <c r="J30" t="str">
        <f>IFERROR(VLOOKUP($A$22&amp;"|"&amp;$A30&amp;"|"&amp;$B30&amp;"|"&amp;J$2&amp;"|"&amp;J$3,'results'!$R:$S,2,FALSE),"?")</f>
        <v>M</v>
      </c>
      <c r="K30" t="str">
        <f>IFERROR(VLOOKUP($A$22&amp;"|"&amp;$A30&amp;"|"&amp;$B30&amp;"|"&amp;K$2&amp;"|"&amp;K$3,'results'!$R:$S,2,FALSE),"?")</f>
        <v>M</v>
      </c>
    </row>
    <row r="31" spans="1:11" x14ac:dyDescent="0.3">
      <c r="A31" t="s">
        <v>92</v>
      </c>
      <c r="B31" t="s">
        <v>64</v>
      </c>
      <c r="C31" t="str">
        <f>IFERROR(VLOOKUP($A$22&amp;"|"&amp;$A31&amp;"|"&amp;$B31&amp;"|"&amp;C$2&amp;"|"&amp;C$3,'results'!$R:$S,2,FALSE),"?")</f>
        <v>P</v>
      </c>
      <c r="D31" t="str">
        <f>IFERROR(VLOOKUP($A$22&amp;"|"&amp;$A31&amp;"|"&amp;$B31&amp;"|"&amp;D$2&amp;"|"&amp;D$3,'results'!$R:$S,2,FALSE),"?")</f>
        <v>P</v>
      </c>
      <c r="E31" t="str">
        <f>IFERROR(VLOOKUP($A$22&amp;"|"&amp;$A31&amp;"|"&amp;$B31&amp;"|"&amp;E$2&amp;"|"&amp;E$3,'results'!$R:$S,2,FALSE),"?")</f>
        <v>P</v>
      </c>
      <c r="F31" t="str">
        <f>IFERROR(VLOOKUP($A$22&amp;"|"&amp;$A31&amp;"|"&amp;$B31&amp;"|"&amp;F$2&amp;"|"&amp;F$3,'results'!$R:$S,2,FALSE),"?")</f>
        <v>M</v>
      </c>
      <c r="G31" t="str">
        <f>IFERROR(VLOOKUP($A$22&amp;"|"&amp;$A31&amp;"|"&amp;$B31&amp;"|"&amp;G$2&amp;"|"&amp;G$3,'results'!$R:$S,2,FALSE),"?")</f>
        <v>M</v>
      </c>
      <c r="H31" t="str">
        <f>IFERROR(VLOOKUP($A$22&amp;"|"&amp;$A31&amp;"|"&amp;$B31&amp;"|"&amp;H$2&amp;"|"&amp;H$3,'results'!$R:$S,2,FALSE),"?")</f>
        <v>M</v>
      </c>
      <c r="I31" t="str">
        <f>IFERROR(VLOOKUP($A$22&amp;"|"&amp;$A31&amp;"|"&amp;$B31&amp;"|"&amp;I$2&amp;"|"&amp;I$3,'results'!$R:$S,2,FALSE),"?")</f>
        <v>M</v>
      </c>
      <c r="J31" t="str">
        <f>IFERROR(VLOOKUP($A$22&amp;"|"&amp;$A31&amp;"|"&amp;$B31&amp;"|"&amp;J$2&amp;"|"&amp;J$3,'results'!$R:$S,2,FALSE),"?")</f>
        <v>M</v>
      </c>
      <c r="K31" t="str">
        <f>IFERROR(VLOOKUP($A$22&amp;"|"&amp;$A31&amp;"|"&amp;$B31&amp;"|"&amp;K$2&amp;"|"&amp;K$3,'results'!$R:$S,2,FALSE),"?")</f>
        <v>M</v>
      </c>
    </row>
    <row r="32" spans="1:11" x14ac:dyDescent="0.3">
      <c r="A32" t="s">
        <v>92</v>
      </c>
      <c r="B32" t="s">
        <v>79</v>
      </c>
      <c r="C32" t="str">
        <f>IFERROR(VLOOKUP($A$22&amp;"|"&amp;$A32&amp;"|"&amp;$B32&amp;"|"&amp;C$2&amp;"|"&amp;C$3,'results'!$R:$S,2,FALSE),"?")</f>
        <v>E</v>
      </c>
      <c r="D32" t="str">
        <f>IFERROR(VLOOKUP($A$22&amp;"|"&amp;$A32&amp;"|"&amp;$B32&amp;"|"&amp;D$2&amp;"|"&amp;D$3,'results'!$R:$S,2,FALSE),"?")</f>
        <v>E</v>
      </c>
      <c r="E32" t="str">
        <f>IFERROR(VLOOKUP($A$22&amp;"|"&amp;$A32&amp;"|"&amp;$B32&amp;"|"&amp;E$2&amp;"|"&amp;E$3,'results'!$R:$S,2,FALSE),"?")</f>
        <v>E</v>
      </c>
      <c r="F32" t="str">
        <f>IFERROR(VLOOKUP($A$22&amp;"|"&amp;$A32&amp;"|"&amp;$B32&amp;"|"&amp;F$2&amp;"|"&amp;F$3,'results'!$R:$S,2,FALSE),"?")</f>
        <v>M</v>
      </c>
      <c r="G32" t="str">
        <f>IFERROR(VLOOKUP($A$22&amp;"|"&amp;$A32&amp;"|"&amp;$B32&amp;"|"&amp;G$2&amp;"|"&amp;G$3,'results'!$R:$S,2,FALSE),"?")</f>
        <v>E</v>
      </c>
      <c r="H32" t="str">
        <f>IFERROR(VLOOKUP($A$22&amp;"|"&amp;$A32&amp;"|"&amp;$B32&amp;"|"&amp;H$2&amp;"|"&amp;H$3,'results'!$R:$S,2,FALSE),"?")</f>
        <v>M</v>
      </c>
      <c r="I32" t="str">
        <f>IFERROR(VLOOKUP($A$22&amp;"|"&amp;$A32&amp;"|"&amp;$B32&amp;"|"&amp;I$2&amp;"|"&amp;I$3,'results'!$R:$S,2,FALSE),"?")</f>
        <v>M</v>
      </c>
      <c r="J32" t="str">
        <f>IFERROR(VLOOKUP($A$22&amp;"|"&amp;$A32&amp;"|"&amp;$B32&amp;"|"&amp;J$2&amp;"|"&amp;J$3,'results'!$R:$S,2,FALSE),"?")</f>
        <v>E</v>
      </c>
      <c r="K32" t="str">
        <f>IFERROR(VLOOKUP($A$22&amp;"|"&amp;$A32&amp;"|"&amp;$B32&amp;"|"&amp;K$2&amp;"|"&amp;K$3,'results'!$R:$S,2,FALSE),"?")</f>
        <v>M</v>
      </c>
    </row>
    <row r="33" spans="1:11" x14ac:dyDescent="0.3">
      <c r="A33" t="s">
        <v>145</v>
      </c>
      <c r="B33" t="s">
        <v>20</v>
      </c>
      <c r="C33" t="str">
        <f>IFERROR(VLOOKUP($A$22&amp;"|"&amp;$A33&amp;"|"&amp;$B33&amp;"|"&amp;C$2&amp;"|"&amp;C$3,'results'!$R:$S,2,FALSE),"?")</f>
        <v>E</v>
      </c>
      <c r="D33" t="str">
        <f>IFERROR(VLOOKUP($A$22&amp;"|"&amp;$A33&amp;"|"&amp;$B33&amp;"|"&amp;D$2&amp;"|"&amp;D$3,'results'!$R:$S,2,FALSE),"?")</f>
        <v>E</v>
      </c>
      <c r="E33" t="str">
        <f>IFERROR(VLOOKUP($A$22&amp;"|"&amp;$A33&amp;"|"&amp;$B33&amp;"|"&amp;E$2&amp;"|"&amp;E$3,'results'!$R:$S,2,FALSE),"?")</f>
        <v>E</v>
      </c>
      <c r="F33" t="str">
        <f>IFERROR(VLOOKUP($A$22&amp;"|"&amp;$A33&amp;"|"&amp;$B33&amp;"|"&amp;F$2&amp;"|"&amp;F$3,'results'!$R:$S,2,FALSE),"?")</f>
        <v>E</v>
      </c>
      <c r="G33" t="str">
        <f>IFERROR(VLOOKUP($A$22&amp;"|"&amp;$A33&amp;"|"&amp;$B33&amp;"|"&amp;G$2&amp;"|"&amp;G$3,'results'!$R:$S,2,FALSE),"?")</f>
        <v>E</v>
      </c>
      <c r="H33" t="str">
        <f>IFERROR(VLOOKUP($A$22&amp;"|"&amp;$A33&amp;"|"&amp;$B33&amp;"|"&amp;H$2&amp;"|"&amp;H$3,'results'!$R:$S,2,FALSE),"?")</f>
        <v>E</v>
      </c>
      <c r="I33" t="str">
        <f>IFERROR(VLOOKUP($A$22&amp;"|"&amp;$A33&amp;"|"&amp;$B33&amp;"|"&amp;I$2&amp;"|"&amp;I$3,'results'!$R:$S,2,FALSE),"?")</f>
        <v>E</v>
      </c>
      <c r="J33" t="str">
        <f>IFERROR(VLOOKUP($A$22&amp;"|"&amp;$A33&amp;"|"&amp;$B33&amp;"|"&amp;J$2&amp;"|"&amp;J$3,'results'!$R:$S,2,FALSE),"?")</f>
        <v>E</v>
      </c>
      <c r="K33" t="str">
        <f>IFERROR(VLOOKUP($A$22&amp;"|"&amp;$A33&amp;"|"&amp;$B33&amp;"|"&amp;K$2&amp;"|"&amp;K$3,'results'!$R:$S,2,FALSE),"?")</f>
        <v>E</v>
      </c>
    </row>
    <row r="34" spans="1:11" x14ac:dyDescent="0.3">
      <c r="A34" t="s">
        <v>145</v>
      </c>
      <c r="B34" t="s">
        <v>47</v>
      </c>
      <c r="C34" t="str">
        <f>IFERROR(VLOOKUP($A$22&amp;"|"&amp;$A34&amp;"|"&amp;$B34&amp;"|"&amp;C$2&amp;"|"&amp;C$3,'results'!$R:$S,2,FALSE),"?")</f>
        <v>P</v>
      </c>
      <c r="D34" t="str">
        <f>IFERROR(VLOOKUP($A$22&amp;"|"&amp;$A34&amp;"|"&amp;$B34&amp;"|"&amp;D$2&amp;"|"&amp;D$3,'results'!$R:$S,2,FALSE),"?")</f>
        <v>P</v>
      </c>
      <c r="E34" t="str">
        <f>IFERROR(VLOOKUP($A$22&amp;"|"&amp;$A34&amp;"|"&amp;$B34&amp;"|"&amp;E$2&amp;"|"&amp;E$3,'results'!$R:$S,2,FALSE),"?")</f>
        <v>P</v>
      </c>
      <c r="F34" t="str">
        <f>IFERROR(VLOOKUP($A$22&amp;"|"&amp;$A34&amp;"|"&amp;$B34&amp;"|"&amp;F$2&amp;"|"&amp;F$3,'results'!$R:$S,2,FALSE),"?")</f>
        <v>M</v>
      </c>
      <c r="G34" t="str">
        <f>IFERROR(VLOOKUP($A$22&amp;"|"&amp;$A34&amp;"|"&amp;$B34&amp;"|"&amp;G$2&amp;"|"&amp;G$3,'results'!$R:$S,2,FALSE),"?")</f>
        <v>M</v>
      </c>
      <c r="H34" t="str">
        <f>IFERROR(VLOOKUP($A$22&amp;"|"&amp;$A34&amp;"|"&amp;$B34&amp;"|"&amp;H$2&amp;"|"&amp;H$3,'results'!$R:$S,2,FALSE),"?")</f>
        <v>M</v>
      </c>
      <c r="I34" t="str">
        <f>IFERROR(VLOOKUP($A$22&amp;"|"&amp;$A34&amp;"|"&amp;$B34&amp;"|"&amp;I$2&amp;"|"&amp;I$3,'results'!$R:$S,2,FALSE),"?")</f>
        <v>M</v>
      </c>
      <c r="J34" t="str">
        <f>IFERROR(VLOOKUP($A$22&amp;"|"&amp;$A34&amp;"|"&amp;$B34&amp;"|"&amp;J$2&amp;"|"&amp;J$3,'results'!$R:$S,2,FALSE),"?")</f>
        <v>M</v>
      </c>
      <c r="K34" t="str">
        <f>IFERROR(VLOOKUP($A$22&amp;"|"&amp;$A34&amp;"|"&amp;$B34&amp;"|"&amp;K$2&amp;"|"&amp;K$3,'results'!$R:$S,2,FALSE),"?")</f>
        <v>M</v>
      </c>
    </row>
    <row r="35" spans="1:11" x14ac:dyDescent="0.3">
      <c r="A35" t="s">
        <v>145</v>
      </c>
      <c r="B35" t="s">
        <v>64</v>
      </c>
      <c r="C35" t="str">
        <f>IFERROR(VLOOKUP($A$22&amp;"|"&amp;$A35&amp;"|"&amp;$B35&amp;"|"&amp;C$2&amp;"|"&amp;C$3,'results'!$R:$S,2,FALSE),"?")</f>
        <v>P</v>
      </c>
      <c r="D35" t="str">
        <f>IFERROR(VLOOKUP($A$22&amp;"|"&amp;$A35&amp;"|"&amp;$B35&amp;"|"&amp;D$2&amp;"|"&amp;D$3,'results'!$R:$S,2,FALSE),"?")</f>
        <v>P</v>
      </c>
      <c r="E35" t="str">
        <f>IFERROR(VLOOKUP($A$22&amp;"|"&amp;$A35&amp;"|"&amp;$B35&amp;"|"&amp;E$2&amp;"|"&amp;E$3,'results'!$R:$S,2,FALSE),"?")</f>
        <v>P</v>
      </c>
      <c r="F35" t="str">
        <f>IFERROR(VLOOKUP($A$22&amp;"|"&amp;$A35&amp;"|"&amp;$B35&amp;"|"&amp;F$2&amp;"|"&amp;F$3,'results'!$R:$S,2,FALSE),"?")</f>
        <v>M</v>
      </c>
      <c r="G35" t="str">
        <f>IFERROR(VLOOKUP($A$22&amp;"|"&amp;$A35&amp;"|"&amp;$B35&amp;"|"&amp;G$2&amp;"|"&amp;G$3,'results'!$R:$S,2,FALSE),"?")</f>
        <v>M</v>
      </c>
      <c r="H35" t="str">
        <f>IFERROR(VLOOKUP($A$22&amp;"|"&amp;$A35&amp;"|"&amp;$B35&amp;"|"&amp;H$2&amp;"|"&amp;H$3,'results'!$R:$S,2,FALSE),"?")</f>
        <v>M</v>
      </c>
      <c r="I35" t="str">
        <f>IFERROR(VLOOKUP($A$22&amp;"|"&amp;$A35&amp;"|"&amp;$B35&amp;"|"&amp;I$2&amp;"|"&amp;I$3,'results'!$R:$S,2,FALSE),"?")</f>
        <v>M</v>
      </c>
      <c r="J35" t="str">
        <f>IFERROR(VLOOKUP($A$22&amp;"|"&amp;$A35&amp;"|"&amp;$B35&amp;"|"&amp;J$2&amp;"|"&amp;J$3,'results'!$R:$S,2,FALSE),"?")</f>
        <v>M</v>
      </c>
      <c r="K35" t="str">
        <f>IFERROR(VLOOKUP($A$22&amp;"|"&amp;$A35&amp;"|"&amp;$B35&amp;"|"&amp;K$2&amp;"|"&amp;K$3,'results'!$R:$S,2,FALSE),"?")</f>
        <v>M</v>
      </c>
    </row>
    <row r="36" spans="1:11" x14ac:dyDescent="0.3">
      <c r="A36" t="s">
        <v>145</v>
      </c>
      <c r="B36" t="s">
        <v>79</v>
      </c>
      <c r="C36" t="str">
        <f>IFERROR(VLOOKUP($A$22&amp;"|"&amp;$A36&amp;"|"&amp;$B36&amp;"|"&amp;C$2&amp;"|"&amp;C$3,'results'!$R:$S,2,FALSE),"?")</f>
        <v>E</v>
      </c>
      <c r="D36" t="str">
        <f>IFERROR(VLOOKUP($A$22&amp;"|"&amp;$A36&amp;"|"&amp;$B36&amp;"|"&amp;D$2&amp;"|"&amp;D$3,'results'!$R:$S,2,FALSE),"?")</f>
        <v>E</v>
      </c>
      <c r="E36" t="str">
        <f>IFERROR(VLOOKUP($A$22&amp;"|"&amp;$A36&amp;"|"&amp;$B36&amp;"|"&amp;E$2&amp;"|"&amp;E$3,'results'!$R:$S,2,FALSE),"?")</f>
        <v>E</v>
      </c>
      <c r="F36" t="str">
        <f>IFERROR(VLOOKUP($A$22&amp;"|"&amp;$A36&amp;"|"&amp;$B36&amp;"|"&amp;F$2&amp;"|"&amp;F$3,'results'!$R:$S,2,FALSE),"?")</f>
        <v>M</v>
      </c>
      <c r="G36" t="str">
        <f>IFERROR(VLOOKUP($A$22&amp;"|"&amp;$A36&amp;"|"&amp;$B36&amp;"|"&amp;G$2&amp;"|"&amp;G$3,'results'!$R:$S,2,FALSE),"?")</f>
        <v>E</v>
      </c>
      <c r="H36" t="str">
        <f>IFERROR(VLOOKUP($A$22&amp;"|"&amp;$A36&amp;"|"&amp;$B36&amp;"|"&amp;H$2&amp;"|"&amp;H$3,'results'!$R:$S,2,FALSE),"?")</f>
        <v>M</v>
      </c>
      <c r="I36" t="str">
        <f>IFERROR(VLOOKUP($A$22&amp;"|"&amp;$A36&amp;"|"&amp;$B36&amp;"|"&amp;I$2&amp;"|"&amp;I$3,'results'!$R:$S,2,FALSE),"?")</f>
        <v>M</v>
      </c>
      <c r="J36" t="str">
        <f>IFERROR(VLOOKUP($A$22&amp;"|"&amp;$A36&amp;"|"&amp;$B36&amp;"|"&amp;J$2&amp;"|"&amp;J$3,'results'!$R:$S,2,FALSE),"?")</f>
        <v>E</v>
      </c>
      <c r="K36" t="str">
        <f>IFERROR(VLOOKUP($A$22&amp;"|"&amp;$A36&amp;"|"&amp;$B36&amp;"|"&amp;K$2&amp;"|"&amp;K$3,'results'!$R:$S,2,FALSE),"?")</f>
        <v>M</v>
      </c>
    </row>
    <row r="37" spans="1:11" x14ac:dyDescent="0.3">
      <c r="A37" t="s">
        <v>145</v>
      </c>
      <c r="B37" t="s">
        <v>20</v>
      </c>
      <c r="C37" t="str">
        <f>IFERROR(VLOOKUP($A$22&amp;"|"&amp;$A37&amp;"|"&amp;$B37&amp;"|"&amp;C$2&amp;"|"&amp;C$3,'results'!$R:$S,2,FALSE),"?")</f>
        <v>E</v>
      </c>
      <c r="D37" t="str">
        <f>IFERROR(VLOOKUP($A$22&amp;"|"&amp;$A37&amp;"|"&amp;$B37&amp;"|"&amp;D$2&amp;"|"&amp;D$3,'results'!$R:$S,2,FALSE),"?")</f>
        <v>E</v>
      </c>
      <c r="E37" t="str">
        <f>IFERROR(VLOOKUP($A$22&amp;"|"&amp;$A37&amp;"|"&amp;$B37&amp;"|"&amp;E$2&amp;"|"&amp;E$3,'results'!$R:$S,2,FALSE),"?")</f>
        <v>E</v>
      </c>
      <c r="F37" t="str">
        <f>IFERROR(VLOOKUP($A$22&amp;"|"&amp;$A37&amp;"|"&amp;$B37&amp;"|"&amp;F$2&amp;"|"&amp;F$3,'results'!$R:$S,2,FALSE),"?")</f>
        <v>E</v>
      </c>
      <c r="G37" t="str">
        <f>IFERROR(VLOOKUP($A$22&amp;"|"&amp;$A37&amp;"|"&amp;$B37&amp;"|"&amp;G$2&amp;"|"&amp;G$3,'results'!$R:$S,2,FALSE),"?")</f>
        <v>E</v>
      </c>
      <c r="H37" t="str">
        <f>IFERROR(VLOOKUP($A$22&amp;"|"&amp;$A37&amp;"|"&amp;$B37&amp;"|"&amp;H$2&amp;"|"&amp;H$3,'results'!$R:$S,2,FALSE),"?")</f>
        <v>E</v>
      </c>
      <c r="I37" t="str">
        <f>IFERROR(VLOOKUP($A$22&amp;"|"&amp;$A37&amp;"|"&amp;$B37&amp;"|"&amp;I$2&amp;"|"&amp;I$3,'results'!$R:$S,2,FALSE),"?")</f>
        <v>E</v>
      </c>
      <c r="J37" t="str">
        <f>IFERROR(VLOOKUP($A$22&amp;"|"&amp;$A37&amp;"|"&amp;$B37&amp;"|"&amp;J$2&amp;"|"&amp;J$3,'results'!$R:$S,2,FALSE),"?")</f>
        <v>E</v>
      </c>
      <c r="K37" t="str">
        <f>IFERROR(VLOOKUP($A$22&amp;"|"&amp;$A37&amp;"|"&amp;$B37&amp;"|"&amp;K$2&amp;"|"&amp;K$3,'results'!$R:$S,2,FALSE),"?")</f>
        <v>E</v>
      </c>
    </row>
    <row r="38" spans="1:11" x14ac:dyDescent="0.3">
      <c r="A38" t="s">
        <v>194</v>
      </c>
      <c r="B38" t="s">
        <v>47</v>
      </c>
      <c r="C38" t="str">
        <f>IFERROR(VLOOKUP($A$22&amp;"|"&amp;$A38&amp;"|"&amp;$B38&amp;"|"&amp;C$2&amp;"|"&amp;C$3,'results'!$R:$S,2,FALSE),"?")</f>
        <v>P</v>
      </c>
      <c r="D38" t="str">
        <f>IFERROR(VLOOKUP($A$22&amp;"|"&amp;$A38&amp;"|"&amp;$B38&amp;"|"&amp;D$2&amp;"|"&amp;D$3,'results'!$R:$S,2,FALSE),"?")</f>
        <v>P</v>
      </c>
      <c r="E38" t="str">
        <f>IFERROR(VLOOKUP($A$22&amp;"|"&amp;$A38&amp;"|"&amp;$B38&amp;"|"&amp;E$2&amp;"|"&amp;E$3,'results'!$R:$S,2,FALSE),"?")</f>
        <v>P</v>
      </c>
      <c r="F38" t="str">
        <f>IFERROR(VLOOKUP($A$22&amp;"|"&amp;$A38&amp;"|"&amp;$B38&amp;"|"&amp;F$2&amp;"|"&amp;F$3,'results'!$R:$S,2,FALSE),"?")</f>
        <v>M</v>
      </c>
      <c r="G38" t="str">
        <f>IFERROR(VLOOKUP($A$22&amp;"|"&amp;$A38&amp;"|"&amp;$B38&amp;"|"&amp;G$2&amp;"|"&amp;G$3,'results'!$R:$S,2,FALSE),"?")</f>
        <v>M</v>
      </c>
      <c r="H38" t="str">
        <f>IFERROR(VLOOKUP($A$22&amp;"|"&amp;$A38&amp;"|"&amp;$B38&amp;"|"&amp;H$2&amp;"|"&amp;H$3,'results'!$R:$S,2,FALSE),"?")</f>
        <v>M</v>
      </c>
      <c r="I38" t="str">
        <f>IFERROR(VLOOKUP($A$22&amp;"|"&amp;$A38&amp;"|"&amp;$B38&amp;"|"&amp;I$2&amp;"|"&amp;I$3,'results'!$R:$S,2,FALSE),"?")</f>
        <v>M</v>
      </c>
      <c r="J38" t="str">
        <f>IFERROR(VLOOKUP($A$22&amp;"|"&amp;$A38&amp;"|"&amp;$B38&amp;"|"&amp;J$2&amp;"|"&amp;J$3,'results'!$R:$S,2,FALSE),"?")</f>
        <v>M</v>
      </c>
      <c r="K38" t="str">
        <f>IFERROR(VLOOKUP($A$22&amp;"|"&amp;$A38&amp;"|"&amp;$B38&amp;"|"&amp;K$2&amp;"|"&amp;K$3,'results'!$R:$S,2,FALSE),"?")</f>
        <v>M</v>
      </c>
    </row>
    <row r="39" spans="1:11" x14ac:dyDescent="0.3">
      <c r="A39" t="s">
        <v>194</v>
      </c>
      <c r="B39" t="s">
        <v>64</v>
      </c>
      <c r="C39" t="str">
        <f>IFERROR(VLOOKUP($A$22&amp;"|"&amp;$A39&amp;"|"&amp;$B39&amp;"|"&amp;C$2&amp;"|"&amp;C$3,'results'!$R:$S,2,FALSE),"?")</f>
        <v>-</v>
      </c>
      <c r="D39" t="str">
        <f>IFERROR(VLOOKUP($A$22&amp;"|"&amp;$A39&amp;"|"&amp;$B39&amp;"|"&amp;D$2&amp;"|"&amp;D$3,'results'!$R:$S,2,FALSE),"?")</f>
        <v>-</v>
      </c>
      <c r="E39" t="str">
        <f>IFERROR(VLOOKUP($A$22&amp;"|"&amp;$A39&amp;"|"&amp;$B39&amp;"|"&amp;E$2&amp;"|"&amp;E$3,'results'!$R:$S,2,FALSE),"?")</f>
        <v>-</v>
      </c>
      <c r="F39" t="str">
        <f>IFERROR(VLOOKUP($A$22&amp;"|"&amp;$A39&amp;"|"&amp;$B39&amp;"|"&amp;F$2&amp;"|"&amp;F$3,'results'!$R:$S,2,FALSE),"?")</f>
        <v>-</v>
      </c>
      <c r="G39" t="str">
        <f>IFERROR(VLOOKUP($A$22&amp;"|"&amp;$A39&amp;"|"&amp;$B39&amp;"|"&amp;G$2&amp;"|"&amp;G$3,'results'!$R:$S,2,FALSE),"?")</f>
        <v>-</v>
      </c>
      <c r="H39" t="str">
        <f>IFERROR(VLOOKUP($A$22&amp;"|"&amp;$A39&amp;"|"&amp;$B39&amp;"|"&amp;H$2&amp;"|"&amp;H$3,'results'!$R:$S,2,FALSE),"?")</f>
        <v>-</v>
      </c>
      <c r="I39" t="str">
        <f>IFERROR(VLOOKUP($A$22&amp;"|"&amp;$A39&amp;"|"&amp;$B39&amp;"|"&amp;I$2&amp;"|"&amp;I$3,'results'!$R:$S,2,FALSE),"?")</f>
        <v>-</v>
      </c>
      <c r="J39" t="str">
        <f>IFERROR(VLOOKUP($A$22&amp;"|"&amp;$A39&amp;"|"&amp;$B39&amp;"|"&amp;J$2&amp;"|"&amp;J$3,'results'!$R:$S,2,FALSE),"?")</f>
        <v>-</v>
      </c>
      <c r="K39" t="str">
        <f>IFERROR(VLOOKUP($A$22&amp;"|"&amp;$A39&amp;"|"&amp;$B39&amp;"|"&amp;K$2&amp;"|"&amp;K$3,'results'!$R:$S,2,FALSE),"?")</f>
        <v>-</v>
      </c>
    </row>
    <row r="40" spans="1:11" x14ac:dyDescent="0.3">
      <c r="A40" t="s">
        <v>194</v>
      </c>
      <c r="B40" t="s">
        <v>79</v>
      </c>
      <c r="C40" t="str">
        <f>IFERROR(VLOOKUP($A$22&amp;"|"&amp;$A40&amp;"|"&amp;$B40&amp;"|"&amp;C$2&amp;"|"&amp;C$3,'results'!$R:$S,2,FALSE),"?")</f>
        <v>E</v>
      </c>
      <c r="D40" t="str">
        <f>IFERROR(VLOOKUP($A$22&amp;"|"&amp;$A40&amp;"|"&amp;$B40&amp;"|"&amp;D$2&amp;"|"&amp;D$3,'results'!$R:$S,2,FALSE),"?")</f>
        <v>E</v>
      </c>
      <c r="E40" t="str">
        <f>IFERROR(VLOOKUP($A$22&amp;"|"&amp;$A40&amp;"|"&amp;$B40&amp;"|"&amp;E$2&amp;"|"&amp;E$3,'results'!$R:$S,2,FALSE),"?")</f>
        <v>E</v>
      </c>
      <c r="F40" t="str">
        <f>IFERROR(VLOOKUP($A$22&amp;"|"&amp;$A40&amp;"|"&amp;$B40&amp;"|"&amp;F$2&amp;"|"&amp;F$3,'results'!$R:$S,2,FALSE),"?")</f>
        <v>M</v>
      </c>
      <c r="G40" t="str">
        <f>IFERROR(VLOOKUP($A$22&amp;"|"&amp;$A40&amp;"|"&amp;$B40&amp;"|"&amp;G$2&amp;"|"&amp;G$3,'results'!$R:$S,2,FALSE),"?")</f>
        <v>E</v>
      </c>
      <c r="H40" t="str">
        <f>IFERROR(VLOOKUP($A$22&amp;"|"&amp;$A40&amp;"|"&amp;$B40&amp;"|"&amp;H$2&amp;"|"&amp;H$3,'results'!$R:$S,2,FALSE),"?")</f>
        <v>M</v>
      </c>
      <c r="I40" t="str">
        <f>IFERROR(VLOOKUP($A$22&amp;"|"&amp;$A40&amp;"|"&amp;$B40&amp;"|"&amp;I$2&amp;"|"&amp;I$3,'results'!$R:$S,2,FALSE),"?")</f>
        <v>M</v>
      </c>
      <c r="J40" t="str">
        <f>IFERROR(VLOOKUP($A$22&amp;"|"&amp;$A40&amp;"|"&amp;$B40&amp;"|"&amp;J$2&amp;"|"&amp;J$3,'results'!$R:$S,2,FALSE),"?")</f>
        <v>E</v>
      </c>
      <c r="K40" t="str">
        <f>IFERROR(VLOOKUP($A$22&amp;"|"&amp;$A40&amp;"|"&amp;$B40&amp;"|"&amp;K$2&amp;"|"&amp;K$3,'results'!$R:$S,2,FALSE),"?")</f>
        <v>M</v>
      </c>
    </row>
    <row r="43" spans="1:11" x14ac:dyDescent="0.3">
      <c r="A43" t="s">
        <v>519</v>
      </c>
    </row>
    <row r="44" spans="1:11" x14ac:dyDescent="0.3">
      <c r="C44" t="s">
        <v>21</v>
      </c>
      <c r="D44" t="s">
        <v>21</v>
      </c>
      <c r="E44" t="s">
        <v>21</v>
      </c>
      <c r="F44" t="s">
        <v>34</v>
      </c>
      <c r="G44" t="s">
        <v>34</v>
      </c>
      <c r="H44" t="s">
        <v>34</v>
      </c>
      <c r="I44" t="s">
        <v>42</v>
      </c>
      <c r="J44" t="s">
        <v>42</v>
      </c>
      <c r="K44" t="s">
        <v>42</v>
      </c>
    </row>
    <row r="45" spans="1:11" x14ac:dyDescent="0.3">
      <c r="C45" t="s">
        <v>22</v>
      </c>
      <c r="D45" t="s">
        <v>238</v>
      </c>
      <c r="E45" t="s">
        <v>31</v>
      </c>
      <c r="F45" t="s">
        <v>22</v>
      </c>
      <c r="G45" t="s">
        <v>238</v>
      </c>
      <c r="H45" t="s">
        <v>31</v>
      </c>
      <c r="I45" t="s">
        <v>22</v>
      </c>
      <c r="J45" t="s">
        <v>238</v>
      </c>
      <c r="K45" t="s">
        <v>31</v>
      </c>
    </row>
    <row r="46" spans="1:11" x14ac:dyDescent="0.3">
      <c r="A46" t="s">
        <v>19</v>
      </c>
      <c r="B46" t="s">
        <v>20</v>
      </c>
      <c r="C46" t="str">
        <f>IFERROR(VLOOKUP($A$43&amp;"|"&amp;$A46&amp;"|"&amp;$B46&amp;"|"&amp;C$2&amp;"|"&amp;C$3,'results'!$R:$S,2,FALSE),"?")</f>
        <v>P</v>
      </c>
      <c r="D46" t="str">
        <f>IFERROR(VLOOKUP($A$43&amp;"|"&amp;$A46&amp;"|"&amp;$B46&amp;"|"&amp;D$2&amp;"|"&amp;D$3,'results'!$R:$S,2,FALSE),"?")</f>
        <v>P</v>
      </c>
      <c r="E46" t="str">
        <f>IFERROR(VLOOKUP($A$43&amp;"|"&amp;$A46&amp;"|"&amp;$B46&amp;"|"&amp;E$2&amp;"|"&amp;E$3,'results'!$R:$S,2,FALSE),"?")</f>
        <v>P</v>
      </c>
      <c r="F46" t="str">
        <f>IFERROR(VLOOKUP($A$43&amp;"|"&amp;$A46&amp;"|"&amp;$B46&amp;"|"&amp;F$2&amp;"|"&amp;F$3,'results'!$R:$S,2,FALSE),"?")</f>
        <v>M</v>
      </c>
      <c r="G46" t="str">
        <f>IFERROR(VLOOKUP($A$43&amp;"|"&amp;$A46&amp;"|"&amp;$B46&amp;"|"&amp;G$2&amp;"|"&amp;G$3,'results'!$R:$S,2,FALSE),"?")</f>
        <v>M</v>
      </c>
      <c r="H46" t="str">
        <f>IFERROR(VLOOKUP($A$43&amp;"|"&amp;$A46&amp;"|"&amp;$B46&amp;"|"&amp;H$2&amp;"|"&amp;H$3,'results'!$R:$S,2,FALSE),"?")</f>
        <v>M</v>
      </c>
      <c r="I46" t="str">
        <f>IFERROR(VLOOKUP($A$43&amp;"|"&amp;$A46&amp;"|"&amp;$B46&amp;"|"&amp;I$2&amp;"|"&amp;I$3,'results'!$R:$S,2,FALSE),"?")</f>
        <v>-</v>
      </c>
      <c r="J46" t="str">
        <f>IFERROR(VLOOKUP($A$43&amp;"|"&amp;$A46&amp;"|"&amp;$B46&amp;"|"&amp;J$2&amp;"|"&amp;J$3,'results'!$R:$S,2,FALSE),"?")</f>
        <v>-</v>
      </c>
      <c r="K46" t="str">
        <f>IFERROR(VLOOKUP($A$43&amp;"|"&amp;$A46&amp;"|"&amp;$B46&amp;"|"&amp;K$2&amp;"|"&amp;K$3,'results'!$R:$S,2,FALSE),"?")</f>
        <v>-</v>
      </c>
    </row>
    <row r="47" spans="1:11" x14ac:dyDescent="0.3">
      <c r="A47" t="s">
        <v>19</v>
      </c>
      <c r="B47" t="s">
        <v>47</v>
      </c>
      <c r="C47" t="str">
        <f>IFERROR(VLOOKUP($A$43&amp;"|"&amp;$A47&amp;"|"&amp;$B47&amp;"|"&amp;C$2&amp;"|"&amp;C$3,'results'!$R:$S,2,FALSE),"?")</f>
        <v>P</v>
      </c>
      <c r="D47" t="str">
        <f>IFERROR(VLOOKUP($A$43&amp;"|"&amp;$A47&amp;"|"&amp;$B47&amp;"|"&amp;D$2&amp;"|"&amp;D$3,'results'!$R:$S,2,FALSE),"?")</f>
        <v>P</v>
      </c>
      <c r="E47" t="str">
        <f>IFERROR(VLOOKUP($A$43&amp;"|"&amp;$A47&amp;"|"&amp;$B47&amp;"|"&amp;E$2&amp;"|"&amp;E$3,'results'!$R:$S,2,FALSE),"?")</f>
        <v>P</v>
      </c>
      <c r="F47" t="str">
        <f>IFERROR(VLOOKUP($A$43&amp;"|"&amp;$A47&amp;"|"&amp;$B47&amp;"|"&amp;F$2&amp;"|"&amp;F$3,'results'!$R:$S,2,FALSE),"?")</f>
        <v>M</v>
      </c>
      <c r="G47" t="str">
        <f>IFERROR(VLOOKUP($A$43&amp;"|"&amp;$A47&amp;"|"&amp;$B47&amp;"|"&amp;G$2&amp;"|"&amp;G$3,'results'!$R:$S,2,FALSE),"?")</f>
        <v>M</v>
      </c>
      <c r="H47" t="str">
        <f>IFERROR(VLOOKUP($A$43&amp;"|"&amp;$A47&amp;"|"&amp;$B47&amp;"|"&amp;H$2&amp;"|"&amp;H$3,'results'!$R:$S,2,FALSE),"?")</f>
        <v>M</v>
      </c>
      <c r="I47" t="str">
        <f>IFERROR(VLOOKUP($A$43&amp;"|"&amp;$A47&amp;"|"&amp;$B47&amp;"|"&amp;I$2&amp;"|"&amp;I$3,'results'!$R:$S,2,FALSE),"?")</f>
        <v>-</v>
      </c>
      <c r="J47" t="str">
        <f>IFERROR(VLOOKUP($A$43&amp;"|"&amp;$A47&amp;"|"&amp;$B47&amp;"|"&amp;J$2&amp;"|"&amp;J$3,'results'!$R:$S,2,FALSE),"?")</f>
        <v>-</v>
      </c>
      <c r="K47" t="str">
        <f>IFERROR(VLOOKUP($A$43&amp;"|"&amp;$A47&amp;"|"&amp;$B47&amp;"|"&amp;K$2&amp;"|"&amp;K$3,'results'!$R:$S,2,FALSE),"?")</f>
        <v>-</v>
      </c>
    </row>
    <row r="48" spans="1:11" x14ac:dyDescent="0.3">
      <c r="A48" t="s">
        <v>19</v>
      </c>
      <c r="B48" t="s">
        <v>64</v>
      </c>
      <c r="C48" t="str">
        <f>IFERROR(VLOOKUP($A$43&amp;"|"&amp;$A48&amp;"|"&amp;$B48&amp;"|"&amp;C$2&amp;"|"&amp;C$3,'results'!$R:$S,2,FALSE),"?")</f>
        <v>P</v>
      </c>
      <c r="D48" t="str">
        <f>IFERROR(VLOOKUP($A$43&amp;"|"&amp;$A48&amp;"|"&amp;$B48&amp;"|"&amp;D$2&amp;"|"&amp;D$3,'results'!$R:$S,2,FALSE),"?")</f>
        <v>P</v>
      </c>
      <c r="E48" t="str">
        <f>IFERROR(VLOOKUP($A$43&amp;"|"&amp;$A48&amp;"|"&amp;$B48&amp;"|"&amp;E$2&amp;"|"&amp;E$3,'results'!$R:$S,2,FALSE),"?")</f>
        <v>P</v>
      </c>
      <c r="F48" t="str">
        <f>IFERROR(VLOOKUP($A$43&amp;"|"&amp;$A48&amp;"|"&amp;$B48&amp;"|"&amp;F$2&amp;"|"&amp;F$3,'results'!$R:$S,2,FALSE),"?")</f>
        <v>M</v>
      </c>
      <c r="G48" t="str">
        <f>IFERROR(VLOOKUP($A$43&amp;"|"&amp;$A48&amp;"|"&amp;$B48&amp;"|"&amp;G$2&amp;"|"&amp;G$3,'results'!$R:$S,2,FALSE),"?")</f>
        <v>M</v>
      </c>
      <c r="H48" t="str">
        <f>IFERROR(VLOOKUP($A$43&amp;"|"&amp;$A48&amp;"|"&amp;$B48&amp;"|"&amp;H$2&amp;"|"&amp;H$3,'results'!$R:$S,2,FALSE),"?")</f>
        <v>M</v>
      </c>
      <c r="I48" t="str">
        <f>IFERROR(VLOOKUP($A$43&amp;"|"&amp;$A48&amp;"|"&amp;$B48&amp;"|"&amp;I$2&amp;"|"&amp;I$3,'results'!$R:$S,2,FALSE),"?")</f>
        <v>-</v>
      </c>
      <c r="J48" t="str">
        <f>IFERROR(VLOOKUP($A$43&amp;"|"&amp;$A48&amp;"|"&amp;$B48&amp;"|"&amp;J$2&amp;"|"&amp;J$3,'results'!$R:$S,2,FALSE),"?")</f>
        <v>-</v>
      </c>
      <c r="K48" t="str">
        <f>IFERROR(VLOOKUP($A$43&amp;"|"&amp;$A48&amp;"|"&amp;$B48&amp;"|"&amp;K$2&amp;"|"&amp;K$3,'results'!$R:$S,2,FALSE),"?")</f>
        <v>-</v>
      </c>
    </row>
    <row r="49" spans="1:11" x14ac:dyDescent="0.3">
      <c r="A49" t="s">
        <v>19</v>
      </c>
      <c r="B49" t="s">
        <v>79</v>
      </c>
      <c r="C49" t="str">
        <f>IFERROR(VLOOKUP($A$43&amp;"|"&amp;$A49&amp;"|"&amp;$B49&amp;"|"&amp;C$2&amp;"|"&amp;C$3,'results'!$R:$S,2,FALSE),"?")</f>
        <v>E</v>
      </c>
      <c r="D49" t="str">
        <f>IFERROR(VLOOKUP($A$43&amp;"|"&amp;$A49&amp;"|"&amp;$B49&amp;"|"&amp;D$2&amp;"|"&amp;D$3,'results'!$R:$S,2,FALSE),"?")</f>
        <v>E</v>
      </c>
      <c r="E49" t="str">
        <f>IFERROR(VLOOKUP($A$43&amp;"|"&amp;$A49&amp;"|"&amp;$B49&amp;"|"&amp;E$2&amp;"|"&amp;E$3,'results'!$R:$S,2,FALSE),"?")</f>
        <v>E</v>
      </c>
      <c r="F49" t="str">
        <f>IFERROR(VLOOKUP($A$43&amp;"|"&amp;$A49&amp;"|"&amp;$B49&amp;"|"&amp;F$2&amp;"|"&amp;F$3,'results'!$R:$S,2,FALSE),"?")</f>
        <v>M</v>
      </c>
      <c r="G49" t="str">
        <f>IFERROR(VLOOKUP($A$43&amp;"|"&amp;$A49&amp;"|"&amp;$B49&amp;"|"&amp;G$2&amp;"|"&amp;G$3,'results'!$R:$S,2,FALSE),"?")</f>
        <v>M</v>
      </c>
      <c r="H49" t="str">
        <f>IFERROR(VLOOKUP($A$43&amp;"|"&amp;$A49&amp;"|"&amp;$B49&amp;"|"&amp;H$2&amp;"|"&amp;H$3,'results'!$R:$S,2,FALSE),"?")</f>
        <v>M</v>
      </c>
      <c r="I49" t="str">
        <f>IFERROR(VLOOKUP($A$43&amp;"|"&amp;$A49&amp;"|"&amp;$B49&amp;"|"&amp;I$2&amp;"|"&amp;I$3,'results'!$R:$S,2,FALSE),"?")</f>
        <v>-</v>
      </c>
      <c r="J49" t="str">
        <f>IFERROR(VLOOKUP($A$43&amp;"|"&amp;$A49&amp;"|"&amp;$B49&amp;"|"&amp;J$2&amp;"|"&amp;J$3,'results'!$R:$S,2,FALSE),"?")</f>
        <v>-</v>
      </c>
      <c r="K49" t="str">
        <f>IFERROR(VLOOKUP($A$43&amp;"|"&amp;$A49&amp;"|"&amp;$B49&amp;"|"&amp;K$2&amp;"|"&amp;K$3,'results'!$R:$S,2,FALSE),"?")</f>
        <v>-</v>
      </c>
    </row>
    <row r="50" spans="1:11" x14ac:dyDescent="0.3">
      <c r="A50" t="s">
        <v>92</v>
      </c>
      <c r="B50" t="s">
        <v>20</v>
      </c>
      <c r="C50" t="str">
        <f>IFERROR(VLOOKUP($A$43&amp;"|"&amp;$A50&amp;"|"&amp;$B50&amp;"|"&amp;C$2&amp;"|"&amp;C$3,'results'!$R:$S,2,FALSE),"?")</f>
        <v>P</v>
      </c>
      <c r="D50" t="str">
        <f>IFERROR(VLOOKUP($A$43&amp;"|"&amp;$A50&amp;"|"&amp;$B50&amp;"|"&amp;D$2&amp;"|"&amp;D$3,'results'!$R:$S,2,FALSE),"?")</f>
        <v>P</v>
      </c>
      <c r="E50" t="str">
        <f>IFERROR(VLOOKUP($A$43&amp;"|"&amp;$A50&amp;"|"&amp;$B50&amp;"|"&amp;E$2&amp;"|"&amp;E$3,'results'!$R:$S,2,FALSE),"?")</f>
        <v>P</v>
      </c>
      <c r="F50" t="str">
        <f>IFERROR(VLOOKUP($A$43&amp;"|"&amp;$A50&amp;"|"&amp;$B50&amp;"|"&amp;F$2&amp;"|"&amp;F$3,'results'!$R:$S,2,FALSE),"?")</f>
        <v>M</v>
      </c>
      <c r="G50" t="str">
        <f>IFERROR(VLOOKUP($A$43&amp;"|"&amp;$A50&amp;"|"&amp;$B50&amp;"|"&amp;G$2&amp;"|"&amp;G$3,'results'!$R:$S,2,FALSE),"?")</f>
        <v>M</v>
      </c>
      <c r="H50" t="str">
        <f>IFERROR(VLOOKUP($A$43&amp;"|"&amp;$A50&amp;"|"&amp;$B50&amp;"|"&amp;H$2&amp;"|"&amp;H$3,'results'!$R:$S,2,FALSE),"?")</f>
        <v>M</v>
      </c>
      <c r="I50" t="str">
        <f>IFERROR(VLOOKUP($A$43&amp;"|"&amp;$A50&amp;"|"&amp;$B50&amp;"|"&amp;I$2&amp;"|"&amp;I$3,'results'!$R:$S,2,FALSE),"?")</f>
        <v>-</v>
      </c>
      <c r="J50" t="str">
        <f>IFERROR(VLOOKUP($A$43&amp;"|"&amp;$A50&amp;"|"&amp;$B50&amp;"|"&amp;J$2&amp;"|"&amp;J$3,'results'!$R:$S,2,FALSE),"?")</f>
        <v>-</v>
      </c>
      <c r="K50" t="str">
        <f>IFERROR(VLOOKUP($A$43&amp;"|"&amp;$A50&amp;"|"&amp;$B50&amp;"|"&amp;K$2&amp;"|"&amp;K$3,'results'!$R:$S,2,FALSE),"?")</f>
        <v>-</v>
      </c>
    </row>
    <row r="51" spans="1:11" x14ac:dyDescent="0.3">
      <c r="A51" t="s">
        <v>92</v>
      </c>
      <c r="B51" t="s">
        <v>47</v>
      </c>
      <c r="C51" t="str">
        <f>IFERROR(VLOOKUP($A$43&amp;"|"&amp;$A51&amp;"|"&amp;$B51&amp;"|"&amp;C$2&amp;"|"&amp;C$3,'results'!$R:$S,2,FALSE),"?")</f>
        <v>P</v>
      </c>
      <c r="D51" t="str">
        <f>IFERROR(VLOOKUP($A$43&amp;"|"&amp;$A51&amp;"|"&amp;$B51&amp;"|"&amp;D$2&amp;"|"&amp;D$3,'results'!$R:$S,2,FALSE),"?")</f>
        <v>P</v>
      </c>
      <c r="E51" t="str">
        <f>IFERROR(VLOOKUP($A$43&amp;"|"&amp;$A51&amp;"|"&amp;$B51&amp;"|"&amp;E$2&amp;"|"&amp;E$3,'results'!$R:$S,2,FALSE),"?")</f>
        <v>P</v>
      </c>
      <c r="F51" t="str">
        <f>IFERROR(VLOOKUP($A$43&amp;"|"&amp;$A51&amp;"|"&amp;$B51&amp;"|"&amp;F$2&amp;"|"&amp;F$3,'results'!$R:$S,2,FALSE),"?")</f>
        <v>M</v>
      </c>
      <c r="G51" t="str">
        <f>IFERROR(VLOOKUP($A$43&amp;"|"&amp;$A51&amp;"|"&amp;$B51&amp;"|"&amp;G$2&amp;"|"&amp;G$3,'results'!$R:$S,2,FALSE),"?")</f>
        <v>M</v>
      </c>
      <c r="H51" t="str">
        <f>IFERROR(VLOOKUP($A$43&amp;"|"&amp;$A51&amp;"|"&amp;$B51&amp;"|"&amp;H$2&amp;"|"&amp;H$3,'results'!$R:$S,2,FALSE),"?")</f>
        <v>M</v>
      </c>
      <c r="I51" t="str">
        <f>IFERROR(VLOOKUP($A$43&amp;"|"&amp;$A51&amp;"|"&amp;$B51&amp;"|"&amp;I$2&amp;"|"&amp;I$3,'results'!$R:$S,2,FALSE),"?")</f>
        <v>-</v>
      </c>
      <c r="J51" t="str">
        <f>IFERROR(VLOOKUP($A$43&amp;"|"&amp;$A51&amp;"|"&amp;$B51&amp;"|"&amp;J$2&amp;"|"&amp;J$3,'results'!$R:$S,2,FALSE),"?")</f>
        <v>-</v>
      </c>
      <c r="K51" t="str">
        <f>IFERROR(VLOOKUP($A$43&amp;"|"&amp;$A51&amp;"|"&amp;$B51&amp;"|"&amp;K$2&amp;"|"&amp;K$3,'results'!$R:$S,2,FALSE),"?")</f>
        <v>-</v>
      </c>
    </row>
    <row r="52" spans="1:11" x14ac:dyDescent="0.3">
      <c r="A52" t="s">
        <v>92</v>
      </c>
      <c r="B52" t="s">
        <v>64</v>
      </c>
      <c r="C52" t="str">
        <f>IFERROR(VLOOKUP($A$43&amp;"|"&amp;$A52&amp;"|"&amp;$B52&amp;"|"&amp;C$2&amp;"|"&amp;C$3,'results'!$R:$S,2,FALSE),"?")</f>
        <v>P</v>
      </c>
      <c r="D52" t="str">
        <f>IFERROR(VLOOKUP($A$43&amp;"|"&amp;$A52&amp;"|"&amp;$B52&amp;"|"&amp;D$2&amp;"|"&amp;D$3,'results'!$R:$S,2,FALSE),"?")</f>
        <v>P</v>
      </c>
      <c r="E52" t="str">
        <f>IFERROR(VLOOKUP($A$43&amp;"|"&amp;$A52&amp;"|"&amp;$B52&amp;"|"&amp;E$2&amp;"|"&amp;E$3,'results'!$R:$S,2,FALSE),"?")</f>
        <v>P</v>
      </c>
      <c r="F52" t="str">
        <f>IFERROR(VLOOKUP($A$43&amp;"|"&amp;$A52&amp;"|"&amp;$B52&amp;"|"&amp;F$2&amp;"|"&amp;F$3,'results'!$R:$S,2,FALSE),"?")</f>
        <v>M</v>
      </c>
      <c r="G52" t="str">
        <f>IFERROR(VLOOKUP($A$43&amp;"|"&amp;$A52&amp;"|"&amp;$B52&amp;"|"&amp;G$2&amp;"|"&amp;G$3,'results'!$R:$S,2,FALSE),"?")</f>
        <v>M</v>
      </c>
      <c r="H52" t="str">
        <f>IFERROR(VLOOKUP($A$43&amp;"|"&amp;$A52&amp;"|"&amp;$B52&amp;"|"&amp;H$2&amp;"|"&amp;H$3,'results'!$R:$S,2,FALSE),"?")</f>
        <v>M</v>
      </c>
      <c r="I52" t="str">
        <f>IFERROR(VLOOKUP($A$43&amp;"|"&amp;$A52&amp;"|"&amp;$B52&amp;"|"&amp;I$2&amp;"|"&amp;I$3,'results'!$R:$S,2,FALSE),"?")</f>
        <v>-</v>
      </c>
      <c r="J52" t="str">
        <f>IFERROR(VLOOKUP($A$43&amp;"|"&amp;$A52&amp;"|"&amp;$B52&amp;"|"&amp;J$2&amp;"|"&amp;J$3,'results'!$R:$S,2,FALSE),"?")</f>
        <v>-</v>
      </c>
      <c r="K52" t="str">
        <f>IFERROR(VLOOKUP($A$43&amp;"|"&amp;$A52&amp;"|"&amp;$B52&amp;"|"&amp;K$2&amp;"|"&amp;K$3,'results'!$R:$S,2,FALSE),"?")</f>
        <v>-</v>
      </c>
    </row>
    <row r="53" spans="1:11" x14ac:dyDescent="0.3">
      <c r="A53" t="s">
        <v>92</v>
      </c>
      <c r="B53" t="s">
        <v>79</v>
      </c>
      <c r="C53" t="str">
        <f>IFERROR(VLOOKUP($A$43&amp;"|"&amp;$A53&amp;"|"&amp;$B53&amp;"|"&amp;C$2&amp;"|"&amp;C$3,'results'!$R:$S,2,FALSE),"?")</f>
        <v>E</v>
      </c>
      <c r="D53" t="str">
        <f>IFERROR(VLOOKUP($A$43&amp;"|"&amp;$A53&amp;"|"&amp;$B53&amp;"|"&amp;D$2&amp;"|"&amp;D$3,'results'!$R:$S,2,FALSE),"?")</f>
        <v>E</v>
      </c>
      <c r="E53" t="str">
        <f>IFERROR(VLOOKUP($A$43&amp;"|"&amp;$A53&amp;"|"&amp;$B53&amp;"|"&amp;E$2&amp;"|"&amp;E$3,'results'!$R:$S,2,FALSE),"?")</f>
        <v>E</v>
      </c>
      <c r="F53" t="str">
        <f>IFERROR(VLOOKUP($A$43&amp;"|"&amp;$A53&amp;"|"&amp;$B53&amp;"|"&amp;F$2&amp;"|"&amp;F$3,'results'!$R:$S,2,FALSE),"?")</f>
        <v>M</v>
      </c>
      <c r="G53" t="str">
        <f>IFERROR(VLOOKUP($A$43&amp;"|"&amp;$A53&amp;"|"&amp;$B53&amp;"|"&amp;G$2&amp;"|"&amp;G$3,'results'!$R:$S,2,FALSE),"?")</f>
        <v>M</v>
      </c>
      <c r="H53" t="str">
        <f>IFERROR(VLOOKUP($A$43&amp;"|"&amp;$A53&amp;"|"&amp;$B53&amp;"|"&amp;H$2&amp;"|"&amp;H$3,'results'!$R:$S,2,FALSE),"?")</f>
        <v>M</v>
      </c>
      <c r="I53" t="str">
        <f>IFERROR(VLOOKUP($A$43&amp;"|"&amp;$A53&amp;"|"&amp;$B53&amp;"|"&amp;I$2&amp;"|"&amp;I$3,'results'!$R:$S,2,FALSE),"?")</f>
        <v>-</v>
      </c>
      <c r="J53" t="str">
        <f>IFERROR(VLOOKUP($A$43&amp;"|"&amp;$A53&amp;"|"&amp;$B53&amp;"|"&amp;J$2&amp;"|"&amp;J$3,'results'!$R:$S,2,FALSE),"?")</f>
        <v>-</v>
      </c>
      <c r="K53" t="str">
        <f>IFERROR(VLOOKUP($A$43&amp;"|"&amp;$A53&amp;"|"&amp;$B53&amp;"|"&amp;K$2&amp;"|"&amp;K$3,'results'!$R:$S,2,FALSE),"?")</f>
        <v>-</v>
      </c>
    </row>
    <row r="54" spans="1:11" x14ac:dyDescent="0.3">
      <c r="A54" t="s">
        <v>145</v>
      </c>
      <c r="B54" t="s">
        <v>20</v>
      </c>
      <c r="C54" t="str">
        <f>IFERROR(VLOOKUP($A$43&amp;"|"&amp;$A54&amp;"|"&amp;$B54&amp;"|"&amp;C$2&amp;"|"&amp;C$3,'results'!$R:$S,2,FALSE),"?")</f>
        <v>E</v>
      </c>
      <c r="D54" t="str">
        <f>IFERROR(VLOOKUP($A$43&amp;"|"&amp;$A54&amp;"|"&amp;$B54&amp;"|"&amp;D$2&amp;"|"&amp;D$3,'results'!$R:$S,2,FALSE),"?")</f>
        <v>P</v>
      </c>
      <c r="E54" t="str">
        <f>IFERROR(VLOOKUP($A$43&amp;"|"&amp;$A54&amp;"|"&amp;$B54&amp;"|"&amp;E$2&amp;"|"&amp;E$3,'results'!$R:$S,2,FALSE),"?")</f>
        <v>E</v>
      </c>
      <c r="F54" t="str">
        <f>IFERROR(VLOOKUP($A$43&amp;"|"&amp;$A54&amp;"|"&amp;$B54&amp;"|"&amp;F$2&amp;"|"&amp;F$3,'results'!$R:$S,2,FALSE),"?")</f>
        <v>E</v>
      </c>
      <c r="G54" t="str">
        <f>IFERROR(VLOOKUP($A$43&amp;"|"&amp;$A54&amp;"|"&amp;$B54&amp;"|"&amp;G$2&amp;"|"&amp;G$3,'results'!$R:$S,2,FALSE),"?")</f>
        <v>P</v>
      </c>
      <c r="H54" t="str">
        <f>IFERROR(VLOOKUP($A$43&amp;"|"&amp;$A54&amp;"|"&amp;$B54&amp;"|"&amp;H$2&amp;"|"&amp;H$3,'results'!$R:$S,2,FALSE),"?")</f>
        <v>E</v>
      </c>
      <c r="I54" t="str">
        <f>IFERROR(VLOOKUP($A$43&amp;"|"&amp;$A54&amp;"|"&amp;$B54&amp;"|"&amp;I$2&amp;"|"&amp;I$3,'results'!$R:$S,2,FALSE),"?")</f>
        <v>-</v>
      </c>
      <c r="J54" t="str">
        <f>IFERROR(VLOOKUP($A$43&amp;"|"&amp;$A54&amp;"|"&amp;$B54&amp;"|"&amp;J$2&amp;"|"&amp;J$3,'results'!$R:$S,2,FALSE),"?")</f>
        <v>-</v>
      </c>
      <c r="K54" t="str">
        <f>IFERROR(VLOOKUP($A$43&amp;"|"&amp;$A54&amp;"|"&amp;$B54&amp;"|"&amp;K$2&amp;"|"&amp;K$3,'results'!$R:$S,2,FALSE),"?")</f>
        <v>-</v>
      </c>
    </row>
    <row r="55" spans="1:11" x14ac:dyDescent="0.3">
      <c r="A55" t="s">
        <v>145</v>
      </c>
      <c r="B55" t="s">
        <v>47</v>
      </c>
      <c r="C55" t="str">
        <f>IFERROR(VLOOKUP($A$43&amp;"|"&amp;$A55&amp;"|"&amp;$B55&amp;"|"&amp;C$2&amp;"|"&amp;C$3,'results'!$R:$S,2,FALSE),"?")</f>
        <v>P</v>
      </c>
      <c r="D55" t="str">
        <f>IFERROR(VLOOKUP($A$43&amp;"|"&amp;$A55&amp;"|"&amp;$B55&amp;"|"&amp;D$2&amp;"|"&amp;D$3,'results'!$R:$S,2,FALSE),"?")</f>
        <v>P</v>
      </c>
      <c r="E55" t="str">
        <f>IFERROR(VLOOKUP($A$43&amp;"|"&amp;$A55&amp;"|"&amp;$B55&amp;"|"&amp;E$2&amp;"|"&amp;E$3,'results'!$R:$S,2,FALSE),"?")</f>
        <v>P</v>
      </c>
      <c r="F55" t="str">
        <f>IFERROR(VLOOKUP($A$43&amp;"|"&amp;$A55&amp;"|"&amp;$B55&amp;"|"&amp;F$2&amp;"|"&amp;F$3,'results'!$R:$S,2,FALSE),"?")</f>
        <v>M</v>
      </c>
      <c r="G55" t="str">
        <f>IFERROR(VLOOKUP($A$43&amp;"|"&amp;$A55&amp;"|"&amp;$B55&amp;"|"&amp;G$2&amp;"|"&amp;G$3,'results'!$R:$S,2,FALSE),"?")</f>
        <v>M</v>
      </c>
      <c r="H55" t="str">
        <f>IFERROR(VLOOKUP($A$43&amp;"|"&amp;$A55&amp;"|"&amp;$B55&amp;"|"&amp;H$2&amp;"|"&amp;H$3,'results'!$R:$S,2,FALSE),"?")</f>
        <v>M</v>
      </c>
      <c r="I55" t="str">
        <f>IFERROR(VLOOKUP($A$43&amp;"|"&amp;$A55&amp;"|"&amp;$B55&amp;"|"&amp;I$2&amp;"|"&amp;I$3,'results'!$R:$S,2,FALSE),"?")</f>
        <v>-</v>
      </c>
      <c r="J55" t="str">
        <f>IFERROR(VLOOKUP($A$43&amp;"|"&amp;$A55&amp;"|"&amp;$B55&amp;"|"&amp;J$2&amp;"|"&amp;J$3,'results'!$R:$S,2,FALSE),"?")</f>
        <v>-</v>
      </c>
      <c r="K55" t="str">
        <f>IFERROR(VLOOKUP($A$43&amp;"|"&amp;$A55&amp;"|"&amp;$B55&amp;"|"&amp;K$2&amp;"|"&amp;K$3,'results'!$R:$S,2,FALSE),"?")</f>
        <v>-</v>
      </c>
    </row>
    <row r="56" spans="1:11" x14ac:dyDescent="0.3">
      <c r="A56" t="s">
        <v>145</v>
      </c>
      <c r="B56" t="s">
        <v>64</v>
      </c>
      <c r="C56" t="str">
        <f>IFERROR(VLOOKUP($A$43&amp;"|"&amp;$A56&amp;"|"&amp;$B56&amp;"|"&amp;C$2&amp;"|"&amp;C$3,'results'!$R:$S,2,FALSE),"?")</f>
        <v>P</v>
      </c>
      <c r="D56" t="str">
        <f>IFERROR(VLOOKUP($A$43&amp;"|"&amp;$A56&amp;"|"&amp;$B56&amp;"|"&amp;D$2&amp;"|"&amp;D$3,'results'!$R:$S,2,FALSE),"?")</f>
        <v>P</v>
      </c>
      <c r="E56" t="str">
        <f>IFERROR(VLOOKUP($A$43&amp;"|"&amp;$A56&amp;"|"&amp;$B56&amp;"|"&amp;E$2&amp;"|"&amp;E$3,'results'!$R:$S,2,FALSE),"?")</f>
        <v>P</v>
      </c>
      <c r="F56" t="str">
        <f>IFERROR(VLOOKUP($A$43&amp;"|"&amp;$A56&amp;"|"&amp;$B56&amp;"|"&amp;F$2&amp;"|"&amp;F$3,'results'!$R:$S,2,FALSE),"?")</f>
        <v>M</v>
      </c>
      <c r="G56" t="str">
        <f>IFERROR(VLOOKUP($A$43&amp;"|"&amp;$A56&amp;"|"&amp;$B56&amp;"|"&amp;G$2&amp;"|"&amp;G$3,'results'!$R:$S,2,FALSE),"?")</f>
        <v>M</v>
      </c>
      <c r="H56" t="str">
        <f>IFERROR(VLOOKUP($A$43&amp;"|"&amp;$A56&amp;"|"&amp;$B56&amp;"|"&amp;H$2&amp;"|"&amp;H$3,'results'!$R:$S,2,FALSE),"?")</f>
        <v>M</v>
      </c>
      <c r="I56" t="str">
        <f>IFERROR(VLOOKUP($A$43&amp;"|"&amp;$A56&amp;"|"&amp;$B56&amp;"|"&amp;I$2&amp;"|"&amp;I$3,'results'!$R:$S,2,FALSE),"?")</f>
        <v>-</v>
      </c>
      <c r="J56" t="str">
        <f>IFERROR(VLOOKUP($A$43&amp;"|"&amp;$A56&amp;"|"&amp;$B56&amp;"|"&amp;J$2&amp;"|"&amp;J$3,'results'!$R:$S,2,FALSE),"?")</f>
        <v>-</v>
      </c>
      <c r="K56" t="str">
        <f>IFERROR(VLOOKUP($A$43&amp;"|"&amp;$A56&amp;"|"&amp;$B56&amp;"|"&amp;K$2&amp;"|"&amp;K$3,'results'!$R:$S,2,FALSE),"?")</f>
        <v>-</v>
      </c>
    </row>
    <row r="57" spans="1:11" x14ac:dyDescent="0.3">
      <c r="A57" t="s">
        <v>145</v>
      </c>
      <c r="B57" t="s">
        <v>79</v>
      </c>
      <c r="C57" t="str">
        <f>IFERROR(VLOOKUP($A$43&amp;"|"&amp;$A57&amp;"|"&amp;$B57&amp;"|"&amp;C$2&amp;"|"&amp;C$3,'results'!$R:$S,2,FALSE),"?")</f>
        <v>E</v>
      </c>
      <c r="D57" t="str">
        <f>IFERROR(VLOOKUP($A$43&amp;"|"&amp;$A57&amp;"|"&amp;$B57&amp;"|"&amp;D$2&amp;"|"&amp;D$3,'results'!$R:$S,2,FALSE),"?")</f>
        <v>E</v>
      </c>
      <c r="E57" t="str">
        <f>IFERROR(VLOOKUP($A$43&amp;"|"&amp;$A57&amp;"|"&amp;$B57&amp;"|"&amp;E$2&amp;"|"&amp;E$3,'results'!$R:$S,2,FALSE),"?")</f>
        <v>E</v>
      </c>
      <c r="F57" t="str">
        <f>IFERROR(VLOOKUP($A$43&amp;"|"&amp;$A57&amp;"|"&amp;$B57&amp;"|"&amp;F$2&amp;"|"&amp;F$3,'results'!$R:$S,2,FALSE),"?")</f>
        <v>M</v>
      </c>
      <c r="G57" t="str">
        <f>IFERROR(VLOOKUP($A$43&amp;"|"&amp;$A57&amp;"|"&amp;$B57&amp;"|"&amp;G$2&amp;"|"&amp;G$3,'results'!$R:$S,2,FALSE),"?")</f>
        <v>M</v>
      </c>
      <c r="H57" t="str">
        <f>IFERROR(VLOOKUP($A$43&amp;"|"&amp;$A57&amp;"|"&amp;$B57&amp;"|"&amp;H$2&amp;"|"&amp;H$3,'results'!$R:$S,2,FALSE),"?")</f>
        <v>M</v>
      </c>
      <c r="I57" t="str">
        <f>IFERROR(VLOOKUP($A$43&amp;"|"&amp;$A57&amp;"|"&amp;$B57&amp;"|"&amp;I$2&amp;"|"&amp;I$3,'results'!$R:$S,2,FALSE),"?")</f>
        <v>-</v>
      </c>
      <c r="J57" t="str">
        <f>IFERROR(VLOOKUP($A$43&amp;"|"&amp;$A57&amp;"|"&amp;$B57&amp;"|"&amp;J$2&amp;"|"&amp;J$3,'results'!$R:$S,2,FALSE),"?")</f>
        <v>-</v>
      </c>
      <c r="K57" t="str">
        <f>IFERROR(VLOOKUP($A$43&amp;"|"&amp;$A57&amp;"|"&amp;$B57&amp;"|"&amp;K$2&amp;"|"&amp;K$3,'results'!$R:$S,2,FALSE),"?")</f>
        <v>-</v>
      </c>
    </row>
    <row r="58" spans="1:11" x14ac:dyDescent="0.3">
      <c r="A58" t="s">
        <v>145</v>
      </c>
      <c r="B58" t="s">
        <v>20</v>
      </c>
      <c r="C58" t="str">
        <f>IFERROR(VLOOKUP($A$43&amp;"|"&amp;$A58&amp;"|"&amp;$B58&amp;"|"&amp;C$2&amp;"|"&amp;C$3,'results'!$R:$S,2,FALSE),"?")</f>
        <v>E</v>
      </c>
      <c r="D58" t="str">
        <f>IFERROR(VLOOKUP($A$43&amp;"|"&amp;$A58&amp;"|"&amp;$B58&amp;"|"&amp;D$2&amp;"|"&amp;D$3,'results'!$R:$S,2,FALSE),"?")</f>
        <v>P</v>
      </c>
      <c r="E58" t="str">
        <f>IFERROR(VLOOKUP($A$43&amp;"|"&amp;$A58&amp;"|"&amp;$B58&amp;"|"&amp;E$2&amp;"|"&amp;E$3,'results'!$R:$S,2,FALSE),"?")</f>
        <v>E</v>
      </c>
      <c r="F58" t="str">
        <f>IFERROR(VLOOKUP($A$43&amp;"|"&amp;$A58&amp;"|"&amp;$B58&amp;"|"&amp;F$2&amp;"|"&amp;F$3,'results'!$R:$S,2,FALSE),"?")</f>
        <v>E</v>
      </c>
      <c r="G58" t="str">
        <f>IFERROR(VLOOKUP($A$43&amp;"|"&amp;$A58&amp;"|"&amp;$B58&amp;"|"&amp;G$2&amp;"|"&amp;G$3,'results'!$R:$S,2,FALSE),"?")</f>
        <v>P</v>
      </c>
      <c r="H58" t="str">
        <f>IFERROR(VLOOKUP($A$43&amp;"|"&amp;$A58&amp;"|"&amp;$B58&amp;"|"&amp;H$2&amp;"|"&amp;H$3,'results'!$R:$S,2,FALSE),"?")</f>
        <v>E</v>
      </c>
      <c r="I58" t="str">
        <f>IFERROR(VLOOKUP($A$43&amp;"|"&amp;$A58&amp;"|"&amp;$B58&amp;"|"&amp;I$2&amp;"|"&amp;I$3,'results'!$R:$S,2,FALSE),"?")</f>
        <v>-</v>
      </c>
      <c r="J58" t="str">
        <f>IFERROR(VLOOKUP($A$43&amp;"|"&amp;$A58&amp;"|"&amp;$B58&amp;"|"&amp;J$2&amp;"|"&amp;J$3,'results'!$R:$S,2,FALSE),"?")</f>
        <v>-</v>
      </c>
      <c r="K58" t="str">
        <f>IFERROR(VLOOKUP($A$43&amp;"|"&amp;$A58&amp;"|"&amp;$B58&amp;"|"&amp;K$2&amp;"|"&amp;K$3,'results'!$R:$S,2,FALSE),"?")</f>
        <v>-</v>
      </c>
    </row>
    <row r="59" spans="1:11" x14ac:dyDescent="0.3">
      <c r="A59" t="s">
        <v>194</v>
      </c>
      <c r="B59" t="s">
        <v>47</v>
      </c>
      <c r="C59" t="str">
        <f>IFERROR(VLOOKUP($A$43&amp;"|"&amp;$A59&amp;"|"&amp;$B59&amp;"|"&amp;C$2&amp;"|"&amp;C$3,'results'!$R:$S,2,FALSE),"?")</f>
        <v>P</v>
      </c>
      <c r="D59" t="str">
        <f>IFERROR(VLOOKUP($A$43&amp;"|"&amp;$A59&amp;"|"&amp;$B59&amp;"|"&amp;D$2&amp;"|"&amp;D$3,'results'!$R:$S,2,FALSE),"?")</f>
        <v>P</v>
      </c>
      <c r="E59" t="str">
        <f>IFERROR(VLOOKUP($A$43&amp;"|"&amp;$A59&amp;"|"&amp;$B59&amp;"|"&amp;E$2&amp;"|"&amp;E$3,'results'!$R:$S,2,FALSE),"?")</f>
        <v>P</v>
      </c>
      <c r="F59" t="str">
        <f>IFERROR(VLOOKUP($A$43&amp;"|"&amp;$A59&amp;"|"&amp;$B59&amp;"|"&amp;F$2&amp;"|"&amp;F$3,'results'!$R:$S,2,FALSE),"?")</f>
        <v>M</v>
      </c>
      <c r="G59" t="str">
        <f>IFERROR(VLOOKUP($A$43&amp;"|"&amp;$A59&amp;"|"&amp;$B59&amp;"|"&amp;G$2&amp;"|"&amp;G$3,'results'!$R:$S,2,FALSE),"?")</f>
        <v>M</v>
      </c>
      <c r="H59" t="str">
        <f>IFERROR(VLOOKUP($A$43&amp;"|"&amp;$A59&amp;"|"&amp;$B59&amp;"|"&amp;H$2&amp;"|"&amp;H$3,'results'!$R:$S,2,FALSE),"?")</f>
        <v>M</v>
      </c>
      <c r="I59" t="str">
        <f>IFERROR(VLOOKUP($A$43&amp;"|"&amp;$A59&amp;"|"&amp;$B59&amp;"|"&amp;I$2&amp;"|"&amp;I$3,'results'!$R:$S,2,FALSE),"?")</f>
        <v>-</v>
      </c>
      <c r="J59" t="str">
        <f>IFERROR(VLOOKUP($A$43&amp;"|"&amp;$A59&amp;"|"&amp;$B59&amp;"|"&amp;J$2&amp;"|"&amp;J$3,'results'!$R:$S,2,FALSE),"?")</f>
        <v>-</v>
      </c>
      <c r="K59" t="str">
        <f>IFERROR(VLOOKUP($A$43&amp;"|"&amp;$A59&amp;"|"&amp;$B59&amp;"|"&amp;K$2&amp;"|"&amp;K$3,'results'!$R:$S,2,FALSE),"?")</f>
        <v>-</v>
      </c>
    </row>
    <row r="60" spans="1:11" x14ac:dyDescent="0.3">
      <c r="A60" t="s">
        <v>194</v>
      </c>
      <c r="B60" t="s">
        <v>64</v>
      </c>
      <c r="C60" t="str">
        <f>IFERROR(VLOOKUP($A$43&amp;"|"&amp;$A60&amp;"|"&amp;$B60&amp;"|"&amp;C$2&amp;"|"&amp;C$3,'results'!$R:$S,2,FALSE),"?")</f>
        <v>-</v>
      </c>
      <c r="D60" t="str">
        <f>IFERROR(VLOOKUP($A$43&amp;"|"&amp;$A60&amp;"|"&amp;$B60&amp;"|"&amp;D$2&amp;"|"&amp;D$3,'results'!$R:$S,2,FALSE),"?")</f>
        <v>-</v>
      </c>
      <c r="E60" t="str">
        <f>IFERROR(VLOOKUP($A$43&amp;"|"&amp;$A60&amp;"|"&amp;$B60&amp;"|"&amp;E$2&amp;"|"&amp;E$3,'results'!$R:$S,2,FALSE),"?")</f>
        <v>-</v>
      </c>
      <c r="F60" t="str">
        <f>IFERROR(VLOOKUP($A$43&amp;"|"&amp;$A60&amp;"|"&amp;$B60&amp;"|"&amp;F$2&amp;"|"&amp;F$3,'results'!$R:$S,2,FALSE),"?")</f>
        <v>-</v>
      </c>
      <c r="G60" t="str">
        <f>IFERROR(VLOOKUP($A$43&amp;"|"&amp;$A60&amp;"|"&amp;$B60&amp;"|"&amp;G$2&amp;"|"&amp;G$3,'results'!$R:$S,2,FALSE),"?")</f>
        <v>-</v>
      </c>
      <c r="H60" t="str">
        <f>IFERROR(VLOOKUP($A$43&amp;"|"&amp;$A60&amp;"|"&amp;$B60&amp;"|"&amp;H$2&amp;"|"&amp;H$3,'results'!$R:$S,2,FALSE),"?")</f>
        <v>-</v>
      </c>
      <c r="I60" t="str">
        <f>IFERROR(VLOOKUP($A$43&amp;"|"&amp;$A60&amp;"|"&amp;$B60&amp;"|"&amp;I$2&amp;"|"&amp;I$3,'results'!$R:$S,2,FALSE),"?")</f>
        <v>-</v>
      </c>
      <c r="J60" t="str">
        <f>IFERROR(VLOOKUP($A$43&amp;"|"&amp;$A60&amp;"|"&amp;$B60&amp;"|"&amp;J$2&amp;"|"&amp;J$3,'results'!$R:$S,2,FALSE),"?")</f>
        <v>-</v>
      </c>
      <c r="K60" t="str">
        <f>IFERROR(VLOOKUP($A$43&amp;"|"&amp;$A60&amp;"|"&amp;$B60&amp;"|"&amp;K$2&amp;"|"&amp;K$3,'results'!$R:$S,2,FALSE),"?")</f>
        <v>-</v>
      </c>
    </row>
    <row r="61" spans="1:11" x14ac:dyDescent="0.3">
      <c r="A61" t="s">
        <v>194</v>
      </c>
      <c r="B61" t="s">
        <v>79</v>
      </c>
      <c r="C61" t="str">
        <f>IFERROR(VLOOKUP($A$43&amp;"|"&amp;$A61&amp;"|"&amp;$B61&amp;"|"&amp;C$2&amp;"|"&amp;C$3,'results'!$R:$S,2,FALSE),"?")</f>
        <v>E</v>
      </c>
      <c r="D61" t="str">
        <f>IFERROR(VLOOKUP($A$43&amp;"|"&amp;$A61&amp;"|"&amp;$B61&amp;"|"&amp;D$2&amp;"|"&amp;D$3,'results'!$R:$S,2,FALSE),"?")</f>
        <v>E</v>
      </c>
      <c r="E61" t="str">
        <f>IFERROR(VLOOKUP($A$43&amp;"|"&amp;$A61&amp;"|"&amp;$B61&amp;"|"&amp;E$2&amp;"|"&amp;E$3,'results'!$R:$S,2,FALSE),"?")</f>
        <v>E</v>
      </c>
      <c r="F61" t="str">
        <f>IFERROR(VLOOKUP($A$43&amp;"|"&amp;$A61&amp;"|"&amp;$B61&amp;"|"&amp;F$2&amp;"|"&amp;F$3,'results'!$R:$S,2,FALSE),"?")</f>
        <v>M</v>
      </c>
      <c r="G61" t="str">
        <f>IFERROR(VLOOKUP($A$43&amp;"|"&amp;$A61&amp;"|"&amp;$B61&amp;"|"&amp;G$2&amp;"|"&amp;G$3,'results'!$R:$S,2,FALSE),"?")</f>
        <v>M</v>
      </c>
      <c r="H61" t="str">
        <f>IFERROR(VLOOKUP($A$43&amp;"|"&amp;$A61&amp;"|"&amp;$B61&amp;"|"&amp;H$2&amp;"|"&amp;H$3,'results'!$R:$S,2,FALSE),"?")</f>
        <v>M</v>
      </c>
      <c r="I61" t="str">
        <f>IFERROR(VLOOKUP($A$43&amp;"|"&amp;$A61&amp;"|"&amp;$B61&amp;"|"&amp;I$2&amp;"|"&amp;I$3,'results'!$R:$S,2,FALSE),"?")</f>
        <v>-</v>
      </c>
      <c r="J61" t="str">
        <f>IFERROR(VLOOKUP($A$43&amp;"|"&amp;$A61&amp;"|"&amp;$B61&amp;"|"&amp;J$2&amp;"|"&amp;J$3,'results'!$R:$S,2,FALSE),"?")</f>
        <v>-</v>
      </c>
      <c r="K61" t="str">
        <f>IFERROR(VLOOKUP($A$43&amp;"|"&amp;$A61&amp;"|"&amp;$B61&amp;"|"&amp;K$2&amp;"|"&amp;K$3,'results'!$R:$S,2,FALSE),"?")</f>
        <v>-</v>
      </c>
    </row>
  </sheetData>
  <phoneticPr fontId="2" type="noConversion"/>
  <conditionalFormatting sqref="C4:K19">
    <cfRule type="cellIs" dxfId="22" priority="9" operator="equal">
      <formula>"-"</formula>
    </cfRule>
    <cfRule type="cellIs" dxfId="21" priority="10" operator="equal">
      <formula>"E"</formula>
    </cfRule>
    <cfRule type="cellIs" dxfId="20" priority="11" operator="equal">
      <formula>"P"</formula>
    </cfRule>
    <cfRule type="cellIs" dxfId="19" priority="12" operator="equal">
      <formula>"M"</formula>
    </cfRule>
  </conditionalFormatting>
  <conditionalFormatting sqref="C25:K40">
    <cfRule type="cellIs" dxfId="18" priority="5" operator="equal">
      <formula>"-"</formula>
    </cfRule>
    <cfRule type="cellIs" dxfId="17" priority="6" operator="equal">
      <formula>"E"</formula>
    </cfRule>
    <cfRule type="cellIs" dxfId="16" priority="7" operator="equal">
      <formula>"P"</formula>
    </cfRule>
    <cfRule type="cellIs" dxfId="15" priority="8" operator="equal">
      <formula>"M"</formula>
    </cfRule>
  </conditionalFormatting>
  <conditionalFormatting sqref="C46:K61">
    <cfRule type="cellIs" dxfId="14" priority="1" operator="equal">
      <formula>"-"</formula>
    </cfRule>
    <cfRule type="cellIs" dxfId="13" priority="2" operator="equal">
      <formula>"E"</formula>
    </cfRule>
    <cfRule type="cellIs" dxfId="12" priority="3" operator="equal">
      <formula>"P"</formula>
    </cfRule>
    <cfRule type="cellIs" dxfId="11" priority="4" operator="equal">
      <formula>"M"</formula>
    </cfRule>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9C603-D76A-4D75-8999-A8343558CAF2}">
  <dimension ref="A1:R145"/>
  <sheetViews>
    <sheetView tabSelected="1" topLeftCell="F7" zoomScale="130" zoomScaleNormal="130" workbookViewId="0">
      <selection activeCell="Q18" sqref="Q18"/>
    </sheetView>
  </sheetViews>
  <sheetFormatPr baseColWidth="10" defaultRowHeight="14.4" x14ac:dyDescent="0.3"/>
  <sheetData>
    <row r="1" spans="1:18" x14ac:dyDescent="0.3">
      <c r="A1" s="3" t="s">
        <v>3</v>
      </c>
      <c r="B1" s="3" t="s">
        <v>4</v>
      </c>
      <c r="C1" s="3" t="s">
        <v>5</v>
      </c>
      <c r="D1" s="3" t="s">
        <v>6</v>
      </c>
      <c r="E1" s="6" t="s">
        <v>18</v>
      </c>
      <c r="F1" s="6" t="s">
        <v>231</v>
      </c>
      <c r="G1" s="6" t="s">
        <v>519</v>
      </c>
      <c r="H1" s="6" t="s">
        <v>887</v>
      </c>
      <c r="I1" s="6" t="s">
        <v>923</v>
      </c>
      <c r="J1" s="6" t="s">
        <v>914</v>
      </c>
      <c r="K1" s="6" t="s">
        <v>915</v>
      </c>
      <c r="L1" s="6" t="s">
        <v>916</v>
      </c>
      <c r="M1" s="6"/>
      <c r="Q1" t="s">
        <v>891</v>
      </c>
    </row>
    <row r="2" spans="1:18" x14ac:dyDescent="0.3">
      <c r="A2" s="5" t="s">
        <v>19</v>
      </c>
      <c r="B2" s="5" t="s">
        <v>20</v>
      </c>
      <c r="C2" s="5" t="s">
        <v>21</v>
      </c>
      <c r="D2" s="5" t="s">
        <v>22</v>
      </c>
      <c r="E2" t="str">
        <f>VLOOKUP("npm_"&amp;A2&amp;"_"&amp;B2&amp;"_"&amp;C2&amp;"_"&amp;D2,'results'!$A:$H,8,FALSE)</f>
        <v>private_resolved</v>
      </c>
      <c r="F2" t="str">
        <f>VLOOKUP("pip_"&amp;A2&amp;"_"&amp;B2&amp;"_"&amp;C2&amp;"_"&amp;D2,'results'!$A:$H,8,FALSE)</f>
        <v>private_resolved</v>
      </c>
      <c r="G2" t="str">
        <f>VLOOKUP("mvn_"&amp;A2&amp;"_"&amp;B2&amp;"_"&amp;C2&amp;"_"&amp;D2,'results'!$A:$H,8,FALSE)</f>
        <v>private_resolved</v>
      </c>
      <c r="H2" t="str">
        <f>IF(COUNTIF(E2:G2,"&lt;&gt;invalid_configuration")&lt;2,"not comparable",IF(MAX(COUNTIF(E2:G2,"malicious_resolved"),COUNTIF(E2:G2,"private_resolved"),COUNTIF(E2:G2,"resolution_error"))=COUNTIF(E2:G2,"&lt;&gt;invalid_configuration"),"agree","disagree"))</f>
        <v>agree</v>
      </c>
      <c r="I2" t="str">
        <f>IF(H2="disagree",IF(AND(E2&lt;&gt;F2,E2&lt;&gt;G2),"npm alone has different result",IF(AND(F2&lt;&gt;E2,F2&lt;&gt;G2),"pip alone has different result",IF(AND(G2&lt;&gt;E2,G2&lt;&gt;F2),"maven alone has different result","mixed"))),"")</f>
        <v/>
      </c>
      <c r="J2">
        <f>COUNTIF(E2:G2,"&lt;&gt;invalid_configuration")</f>
        <v>3</v>
      </c>
      <c r="K2">
        <f>COUNTIF(E2:G2,"malicious_resolved")</f>
        <v>0</v>
      </c>
      <c r="L2" t="str">
        <f>IF(J2=0,"all invalid cells",IF(K2=0,"0 compromised",IF(K2=J2,"all compromised","partly compromised")))</f>
        <v>0 compromised</v>
      </c>
      <c r="M2">
        <f>COUNTIF(H2:H145,"agree")</f>
        <v>96</v>
      </c>
      <c r="N2" s="7" t="s">
        <v>888</v>
      </c>
      <c r="P2">
        <f>COUNTIF(I2:I145,"npm alone has different result")</f>
        <v>28</v>
      </c>
      <c r="Q2" t="s">
        <v>892</v>
      </c>
    </row>
    <row r="3" spans="1:18" x14ac:dyDescent="0.3">
      <c r="A3" s="4" t="s">
        <v>19</v>
      </c>
      <c r="B3" s="4" t="s">
        <v>20</v>
      </c>
      <c r="C3" s="4" t="s">
        <v>21</v>
      </c>
      <c r="D3" s="4" t="s">
        <v>31</v>
      </c>
      <c r="E3" t="str">
        <f>VLOOKUP("npm_"&amp;A3&amp;"_"&amp;B3&amp;"_"&amp;C3&amp;"_"&amp;D3,'results'!$A:$H,8,FALSE)</f>
        <v>private_resolved</v>
      </c>
      <c r="F3" t="str">
        <f>VLOOKUP("pip_"&amp;A3&amp;"_"&amp;B3&amp;"_"&amp;C3&amp;"_"&amp;D3,'results'!$A:$H,8,FALSE)</f>
        <v>private_resolved</v>
      </c>
      <c r="G3" t="str">
        <f>VLOOKUP("mvn_"&amp;A3&amp;"_"&amp;B3&amp;"_"&amp;C3&amp;"_"&amp;D3,'results'!$A:$H,8,FALSE)</f>
        <v>private_resolved</v>
      </c>
      <c r="H3" t="str">
        <f t="shared" ref="H3:H66" si="0">IF(COUNTIF(E3:G3,"&lt;&gt;invalid_configuration")&lt;2,"not comparable",IF(MAX(COUNTIF(E3:G3,"malicious_resolved"),COUNTIF(E3:G3,"private_resolved"),COUNTIF(E3:G3,"resolution_error"))=COUNTIF(E3:G3,"&lt;&gt;invalid_configuration"),"agree","disagree"))</f>
        <v>agree</v>
      </c>
      <c r="I3" t="str">
        <f t="shared" ref="I3:I66" si="1">IF(H3="disagree",IF(AND(E3&lt;&gt;F3,E3&lt;&gt;G3),"npm alone has different result",IF(AND(F3&lt;&gt;E3,F3&lt;&gt;G3),"pip alone has different result",IF(AND(G3&lt;&gt;E3,G3&lt;&gt;F3),"maven alone has different result","mixed"))),"")</f>
        <v/>
      </c>
      <c r="J3">
        <f t="shared" ref="J3:J66" si="2">COUNTIF(E3:G3,"&lt;&gt;invalid_configuration")</f>
        <v>3</v>
      </c>
      <c r="K3">
        <f t="shared" ref="K3:K66" si="3">COUNTIF(E3:G3,"malicious_resolved")</f>
        <v>0</v>
      </c>
      <c r="L3" t="str">
        <f t="shared" ref="L3:L66" si="4">IF(J3=0,"all invalid cells",IF(K3=0,"0 compromised",IF(K3=J3,"all compromised","partly compromised")))</f>
        <v>0 compromised</v>
      </c>
      <c r="M3">
        <f>COUNTIF(H2:H145,"disagree")</f>
        <v>39</v>
      </c>
      <c r="N3" s="8" t="s">
        <v>889</v>
      </c>
      <c r="P3">
        <f>COUNTIF(I2:I145,"pip alone has different result")</f>
        <v>7</v>
      </c>
      <c r="Q3" t="s">
        <v>893</v>
      </c>
    </row>
    <row r="4" spans="1:18" x14ac:dyDescent="0.3">
      <c r="A4" s="5" t="s">
        <v>19</v>
      </c>
      <c r="B4" s="5" t="s">
        <v>20</v>
      </c>
      <c r="C4" s="5" t="s">
        <v>34</v>
      </c>
      <c r="D4" s="5" t="s">
        <v>22</v>
      </c>
      <c r="E4" t="str">
        <f>VLOOKUP("npm_"&amp;A4&amp;"_"&amp;B4&amp;"_"&amp;C4&amp;"_"&amp;D4,'results'!$A:$H,8,FALSE)</f>
        <v>malicious_resolved</v>
      </c>
      <c r="F4" t="str">
        <f>VLOOKUP("pip_"&amp;A4&amp;"_"&amp;B4&amp;"_"&amp;C4&amp;"_"&amp;D4,'results'!$A:$H,8,FALSE)</f>
        <v>malicious_resolved</v>
      </c>
      <c r="G4" t="str">
        <f>VLOOKUP("mvn_"&amp;A4&amp;"_"&amp;B4&amp;"_"&amp;C4&amp;"_"&amp;D4,'results'!$A:$H,8,FALSE)</f>
        <v>malicious_resolved</v>
      </c>
      <c r="H4" t="str">
        <f t="shared" si="0"/>
        <v>agree</v>
      </c>
      <c r="I4" t="str">
        <f t="shared" si="1"/>
        <v/>
      </c>
      <c r="J4">
        <f t="shared" si="2"/>
        <v>3</v>
      </c>
      <c r="K4">
        <f t="shared" si="3"/>
        <v>3</v>
      </c>
      <c r="L4" t="str">
        <f t="shared" si="4"/>
        <v>all compromised</v>
      </c>
      <c r="M4">
        <f>COUNTIF(H2:H145,"not comparable")</f>
        <v>9</v>
      </c>
      <c r="N4" s="9" t="s">
        <v>890</v>
      </c>
      <c r="P4">
        <f>COUNTIF(I2:I145,"maven alone has different result")</f>
        <v>4</v>
      </c>
      <c r="Q4" t="s">
        <v>894</v>
      </c>
    </row>
    <row r="5" spans="1:18" x14ac:dyDescent="0.3">
      <c r="A5" s="4" t="s">
        <v>19</v>
      </c>
      <c r="B5" s="4" t="s">
        <v>20</v>
      </c>
      <c r="C5" s="4" t="s">
        <v>34</v>
      </c>
      <c r="D5" s="4" t="s">
        <v>31</v>
      </c>
      <c r="E5" t="str">
        <f>VLOOKUP("npm_"&amp;A5&amp;"_"&amp;B5&amp;"_"&amp;C5&amp;"_"&amp;D5,'results'!$A:$H,8,FALSE)</f>
        <v>malicious_resolved</v>
      </c>
      <c r="F5" t="str">
        <f>VLOOKUP("pip_"&amp;A5&amp;"_"&amp;B5&amp;"_"&amp;C5&amp;"_"&amp;D5,'results'!$A:$H,8,FALSE)</f>
        <v>malicious_resolved</v>
      </c>
      <c r="G5" t="str">
        <f>VLOOKUP("mvn_"&amp;A5&amp;"_"&amp;B5&amp;"_"&amp;C5&amp;"_"&amp;D5,'results'!$A:$H,8,FALSE)</f>
        <v>malicious_resolved</v>
      </c>
      <c r="H5" t="str">
        <f t="shared" si="0"/>
        <v>agree</v>
      </c>
      <c r="I5" t="str">
        <f t="shared" si="1"/>
        <v/>
      </c>
      <c r="J5">
        <f t="shared" si="2"/>
        <v>3</v>
      </c>
      <c r="K5">
        <f t="shared" si="3"/>
        <v>3</v>
      </c>
      <c r="L5" t="str">
        <f t="shared" si="4"/>
        <v>all compromised</v>
      </c>
    </row>
    <row r="6" spans="1:18" x14ac:dyDescent="0.3">
      <c r="A6" s="5" t="s">
        <v>19</v>
      </c>
      <c r="B6" s="5" t="s">
        <v>20</v>
      </c>
      <c r="C6" s="5" t="s">
        <v>42</v>
      </c>
      <c r="D6" s="5" t="s">
        <v>22</v>
      </c>
      <c r="E6" t="str">
        <f>VLOOKUP("npm_"&amp;A6&amp;"_"&amp;B6&amp;"_"&amp;C6&amp;"_"&amp;D6,'results'!$A:$H,8,FALSE)</f>
        <v>malicious_resolved</v>
      </c>
      <c r="F6" t="str">
        <f>VLOOKUP("pip_"&amp;A6&amp;"_"&amp;B6&amp;"_"&amp;C6&amp;"_"&amp;D6,'results'!$A:$H,8,FALSE)</f>
        <v>malicious_resolved</v>
      </c>
      <c r="G6" t="str">
        <f>VLOOKUP("mvn_"&amp;A6&amp;"_"&amp;B6&amp;"_"&amp;C6&amp;"_"&amp;D6,'results'!$A:$H,8,FALSE)</f>
        <v>invalid_configuration</v>
      </c>
      <c r="H6" t="str">
        <f t="shared" si="0"/>
        <v>agree</v>
      </c>
      <c r="I6" t="str">
        <f t="shared" si="1"/>
        <v/>
      </c>
      <c r="J6">
        <f t="shared" si="2"/>
        <v>2</v>
      </c>
      <c r="K6">
        <f t="shared" si="3"/>
        <v>2</v>
      </c>
      <c r="L6" t="str">
        <f t="shared" si="4"/>
        <v>all compromised</v>
      </c>
    </row>
    <row r="7" spans="1:18" x14ac:dyDescent="0.3">
      <c r="A7" s="4" t="s">
        <v>19</v>
      </c>
      <c r="B7" s="4" t="s">
        <v>20</v>
      </c>
      <c r="C7" s="4" t="s">
        <v>42</v>
      </c>
      <c r="D7" s="4" t="s">
        <v>31</v>
      </c>
      <c r="E7" t="str">
        <f>VLOOKUP("npm_"&amp;A7&amp;"_"&amp;B7&amp;"_"&amp;C7&amp;"_"&amp;D7,'results'!$A:$H,8,FALSE)</f>
        <v>malicious_resolved</v>
      </c>
      <c r="F7" t="str">
        <f>VLOOKUP("pip_"&amp;A7&amp;"_"&amp;B7&amp;"_"&amp;C7&amp;"_"&amp;D7,'results'!$A:$H,8,FALSE)</f>
        <v>malicious_resolved</v>
      </c>
      <c r="G7" t="str">
        <f>VLOOKUP("mvn_"&amp;A7&amp;"_"&amp;B7&amp;"_"&amp;C7&amp;"_"&amp;D7,'results'!$A:$H,8,FALSE)</f>
        <v>invalid_configuration</v>
      </c>
      <c r="H7" t="str">
        <f t="shared" si="0"/>
        <v>agree</v>
      </c>
      <c r="I7" t="str">
        <f t="shared" si="1"/>
        <v/>
      </c>
      <c r="J7">
        <f t="shared" si="2"/>
        <v>2</v>
      </c>
      <c r="K7">
        <f t="shared" si="3"/>
        <v>2</v>
      </c>
      <c r="L7" t="str">
        <f t="shared" si="4"/>
        <v>all compromised</v>
      </c>
      <c r="P7" t="s">
        <v>895</v>
      </c>
      <c r="Q7">
        <f>COUNTIFS($H$2:$H$145,"disagree",$C$2:$C$145,"B2a",$E$2:$E$145,"resolution_error",$F$2:$F$145,"private_resolved")</f>
        <v>21</v>
      </c>
      <c r="R7" t="s">
        <v>922</v>
      </c>
    </row>
    <row r="8" spans="1:18" x14ac:dyDescent="0.3">
      <c r="A8" s="5" t="s">
        <v>19</v>
      </c>
      <c r="B8" s="5" t="s">
        <v>47</v>
      </c>
      <c r="C8" s="5" t="s">
        <v>21</v>
      </c>
      <c r="D8" s="5" t="s">
        <v>22</v>
      </c>
      <c r="E8" t="str">
        <f>VLOOKUP("npm_"&amp;A8&amp;"_"&amp;B8&amp;"_"&amp;C8&amp;"_"&amp;D8,'results'!$A:$H,8,FALSE)</f>
        <v>resolution_error</v>
      </c>
      <c r="F8" t="str">
        <f>VLOOKUP("pip_"&amp;A8&amp;"_"&amp;B8&amp;"_"&amp;C8&amp;"_"&amp;D8,'results'!$A:$H,8,FALSE)</f>
        <v>private_resolved</v>
      </c>
      <c r="G8" t="str">
        <f>VLOOKUP("mvn_"&amp;A8&amp;"_"&amp;B8&amp;"_"&amp;C8&amp;"_"&amp;D8,'results'!$A:$H,8,FALSE)</f>
        <v>private_resolved</v>
      </c>
      <c r="H8" t="str">
        <f t="shared" si="0"/>
        <v>disagree</v>
      </c>
      <c r="I8" t="str">
        <f t="shared" si="1"/>
        <v>npm alone has different result</v>
      </c>
      <c r="J8">
        <f t="shared" si="2"/>
        <v>3</v>
      </c>
      <c r="K8">
        <f t="shared" si="3"/>
        <v>0</v>
      </c>
      <c r="L8" t="str">
        <f t="shared" si="4"/>
        <v>0 compromised</v>
      </c>
      <c r="P8" t="s">
        <v>896</v>
      </c>
      <c r="Q8">
        <f>COUNTIFS($H$2:$H$145,"disagree",$A$2:$A$145,"A3",$B$2:$B$145,"B1a",$D$2:$D$145,"&lt;&gt;C1b")</f>
        <v>4</v>
      </c>
      <c r="R8" t="s">
        <v>899</v>
      </c>
    </row>
    <row r="9" spans="1:18" x14ac:dyDescent="0.3">
      <c r="A9" s="4" t="s">
        <v>19</v>
      </c>
      <c r="B9" s="4" t="s">
        <v>47</v>
      </c>
      <c r="C9" s="4" t="s">
        <v>21</v>
      </c>
      <c r="D9" s="4" t="s">
        <v>31</v>
      </c>
      <c r="E9" t="str">
        <f>VLOOKUP("npm_"&amp;A9&amp;"_"&amp;B9&amp;"_"&amp;C9&amp;"_"&amp;D9,'results'!$A:$H,8,FALSE)</f>
        <v>resolution_error</v>
      </c>
      <c r="F9" t="str">
        <f>VLOOKUP("pip_"&amp;A9&amp;"_"&amp;B9&amp;"_"&amp;C9&amp;"_"&amp;D9,'results'!$A:$H,8,FALSE)</f>
        <v>private_resolved</v>
      </c>
      <c r="G9" t="str">
        <f>VLOOKUP("mvn_"&amp;A9&amp;"_"&amp;B9&amp;"_"&amp;C9&amp;"_"&amp;D9,'results'!$A:$H,8,FALSE)</f>
        <v>private_resolved</v>
      </c>
      <c r="H9" t="str">
        <f t="shared" si="0"/>
        <v>disagree</v>
      </c>
      <c r="I9" t="str">
        <f t="shared" si="1"/>
        <v>npm alone has different result</v>
      </c>
      <c r="J9">
        <f t="shared" si="2"/>
        <v>3</v>
      </c>
      <c r="K9">
        <f t="shared" si="3"/>
        <v>0</v>
      </c>
      <c r="L9" t="str">
        <f t="shared" si="4"/>
        <v>0 compromised</v>
      </c>
      <c r="P9" t="s">
        <v>897</v>
      </c>
      <c r="Q9">
        <f>COUNTIFS($H$2:$H$145,"disagree",$B$2:$B$145,"B1d",$D$2:$D$145,"C1b")</f>
        <v>8</v>
      </c>
      <c r="R9" t="s">
        <v>900</v>
      </c>
    </row>
    <row r="10" spans="1:18" x14ac:dyDescent="0.3">
      <c r="A10" s="5" t="s">
        <v>19</v>
      </c>
      <c r="B10" s="5" t="s">
        <v>47</v>
      </c>
      <c r="C10" s="5" t="s">
        <v>34</v>
      </c>
      <c r="D10" s="5" t="s">
        <v>22</v>
      </c>
      <c r="E10" t="str">
        <f>VLOOKUP("npm_"&amp;A10&amp;"_"&amp;B10&amp;"_"&amp;C10&amp;"_"&amp;D10,'results'!$A:$H,8,FALSE)</f>
        <v>malicious_resolved</v>
      </c>
      <c r="F10" t="str">
        <f>VLOOKUP("pip_"&amp;A10&amp;"_"&amp;B10&amp;"_"&amp;C10&amp;"_"&amp;D10,'results'!$A:$H,8,FALSE)</f>
        <v>malicious_resolved</v>
      </c>
      <c r="G10" t="str">
        <f>VLOOKUP("mvn_"&amp;A10&amp;"_"&amp;B10&amp;"_"&amp;C10&amp;"_"&amp;D10,'results'!$A:$H,8,FALSE)</f>
        <v>malicious_resolved</v>
      </c>
      <c r="H10" t="str">
        <f t="shared" si="0"/>
        <v>agree</v>
      </c>
      <c r="I10" t="str">
        <f t="shared" si="1"/>
        <v/>
      </c>
      <c r="J10">
        <f t="shared" si="2"/>
        <v>3</v>
      </c>
      <c r="K10">
        <f t="shared" si="3"/>
        <v>3</v>
      </c>
      <c r="L10" t="str">
        <f t="shared" si="4"/>
        <v>all compromised</v>
      </c>
      <c r="P10" t="s">
        <v>898</v>
      </c>
      <c r="Q10">
        <f>COUNTIFS($H$2:$H$145,"disagree",$B$2:$B$145,"B1a",$D$2:$D$145,"C1b")</f>
        <v>6</v>
      </c>
      <c r="R10" t="s">
        <v>901</v>
      </c>
    </row>
    <row r="11" spans="1:18" x14ac:dyDescent="0.3">
      <c r="A11" s="4" t="s">
        <v>19</v>
      </c>
      <c r="B11" s="4" t="s">
        <v>47</v>
      </c>
      <c r="C11" s="4" t="s">
        <v>34</v>
      </c>
      <c r="D11" s="4" t="s">
        <v>31</v>
      </c>
      <c r="E11" t="str">
        <f>VLOOKUP("npm_"&amp;A11&amp;"_"&amp;B11&amp;"_"&amp;C11&amp;"_"&amp;D11,'results'!$A:$H,8,FALSE)</f>
        <v>malicious_resolved</v>
      </c>
      <c r="F11" t="str">
        <f>VLOOKUP("pip_"&amp;A11&amp;"_"&amp;B11&amp;"_"&amp;C11&amp;"_"&amp;D11,'results'!$A:$H,8,FALSE)</f>
        <v>malicious_resolved</v>
      </c>
      <c r="G11" t="str">
        <f>VLOOKUP("mvn_"&amp;A11&amp;"_"&amp;B11&amp;"_"&amp;C11&amp;"_"&amp;D11,'results'!$A:$H,8,FALSE)</f>
        <v>malicious_resolved</v>
      </c>
      <c r="H11" t="str">
        <f t="shared" si="0"/>
        <v>agree</v>
      </c>
      <c r="I11" t="str">
        <f t="shared" si="1"/>
        <v/>
      </c>
      <c r="J11">
        <f t="shared" si="2"/>
        <v>3</v>
      </c>
      <c r="K11">
        <f t="shared" si="3"/>
        <v>3</v>
      </c>
      <c r="L11" t="str">
        <f t="shared" si="4"/>
        <v>all compromised</v>
      </c>
    </row>
    <row r="12" spans="1:18" x14ac:dyDescent="0.3">
      <c r="A12" s="5" t="s">
        <v>19</v>
      </c>
      <c r="B12" s="5" t="s">
        <v>47</v>
      </c>
      <c r="C12" s="5" t="s">
        <v>42</v>
      </c>
      <c r="D12" s="5" t="s">
        <v>22</v>
      </c>
      <c r="E12" t="str">
        <f>VLOOKUP("npm_"&amp;A12&amp;"_"&amp;B12&amp;"_"&amp;C12&amp;"_"&amp;D12,'results'!$A:$H,8,FALSE)</f>
        <v>malicious_resolved</v>
      </c>
      <c r="F12" t="str">
        <f>VLOOKUP("pip_"&amp;A12&amp;"_"&amp;B12&amp;"_"&amp;C12&amp;"_"&amp;D12,'results'!$A:$H,8,FALSE)</f>
        <v>malicious_resolved</v>
      </c>
      <c r="G12" t="str">
        <f>VLOOKUP("mvn_"&amp;A12&amp;"_"&amp;B12&amp;"_"&amp;C12&amp;"_"&amp;D12,'results'!$A:$H,8,FALSE)</f>
        <v>invalid_configuration</v>
      </c>
      <c r="H12" t="str">
        <f t="shared" si="0"/>
        <v>agree</v>
      </c>
      <c r="I12" t="str">
        <f t="shared" si="1"/>
        <v/>
      </c>
      <c r="J12">
        <f t="shared" si="2"/>
        <v>2</v>
      </c>
      <c r="K12">
        <f t="shared" si="3"/>
        <v>2</v>
      </c>
      <c r="L12" t="str">
        <f t="shared" si="4"/>
        <v>all compromised</v>
      </c>
    </row>
    <row r="13" spans="1:18" x14ac:dyDescent="0.3">
      <c r="A13" s="4" t="s">
        <v>19</v>
      </c>
      <c r="B13" s="4" t="s">
        <v>47</v>
      </c>
      <c r="C13" s="4" t="s">
        <v>42</v>
      </c>
      <c r="D13" s="4" t="s">
        <v>31</v>
      </c>
      <c r="E13" t="str">
        <f>VLOOKUP("npm_"&amp;A13&amp;"_"&amp;B13&amp;"_"&amp;C13&amp;"_"&amp;D13,'results'!$A:$H,8,FALSE)</f>
        <v>malicious_resolved</v>
      </c>
      <c r="F13" t="str">
        <f>VLOOKUP("pip_"&amp;A13&amp;"_"&amp;B13&amp;"_"&amp;C13&amp;"_"&amp;D13,'results'!$A:$H,8,FALSE)</f>
        <v>malicious_resolved</v>
      </c>
      <c r="G13" t="str">
        <f>VLOOKUP("mvn_"&amp;A13&amp;"_"&amp;B13&amp;"_"&amp;C13&amp;"_"&amp;D13,'results'!$A:$H,8,FALSE)</f>
        <v>invalid_configuration</v>
      </c>
      <c r="H13" t="str">
        <f t="shared" si="0"/>
        <v>agree</v>
      </c>
      <c r="I13" t="str">
        <f t="shared" si="1"/>
        <v/>
      </c>
      <c r="J13">
        <f t="shared" si="2"/>
        <v>2</v>
      </c>
      <c r="K13">
        <f t="shared" si="3"/>
        <v>2</v>
      </c>
      <c r="L13" t="str">
        <f t="shared" si="4"/>
        <v>all compromised</v>
      </c>
      <c r="P13" s="11" t="s">
        <v>917</v>
      </c>
      <c r="Q13" s="11"/>
    </row>
    <row r="14" spans="1:18" x14ac:dyDescent="0.3">
      <c r="A14" s="5" t="s">
        <v>19</v>
      </c>
      <c r="B14" s="5" t="s">
        <v>64</v>
      </c>
      <c r="C14" s="5" t="s">
        <v>21</v>
      </c>
      <c r="D14" s="5" t="s">
        <v>22</v>
      </c>
      <c r="E14" t="str">
        <f>VLOOKUP("npm_"&amp;A14&amp;"_"&amp;B14&amp;"_"&amp;C14&amp;"_"&amp;D14,'results'!$A:$H,8,FALSE)</f>
        <v>resolution_error</v>
      </c>
      <c r="F14" t="str">
        <f>VLOOKUP("pip_"&amp;A14&amp;"_"&amp;B14&amp;"_"&amp;C14&amp;"_"&amp;D14,'results'!$A:$H,8,FALSE)</f>
        <v>private_resolved</v>
      </c>
      <c r="G14" t="str">
        <f>VLOOKUP("mvn_"&amp;A14&amp;"_"&amp;B14&amp;"_"&amp;C14&amp;"_"&amp;D14,'results'!$A:$H,8,FALSE)</f>
        <v>private_resolved</v>
      </c>
      <c r="H14" t="str">
        <f t="shared" si="0"/>
        <v>disagree</v>
      </c>
      <c r="I14" t="str">
        <f t="shared" si="1"/>
        <v>npm alone has different result</v>
      </c>
      <c r="J14">
        <f t="shared" si="2"/>
        <v>3</v>
      </c>
      <c r="K14">
        <f t="shared" si="3"/>
        <v>0</v>
      </c>
      <c r="L14" t="str">
        <f t="shared" si="4"/>
        <v>0 compromised</v>
      </c>
      <c r="P14">
        <f>COUNTIF(L2:L145,"0 compromised")</f>
        <v>54</v>
      </c>
      <c r="Q14" t="s">
        <v>918</v>
      </c>
    </row>
    <row r="15" spans="1:18" x14ac:dyDescent="0.3">
      <c r="A15" s="4" t="s">
        <v>19</v>
      </c>
      <c r="B15" s="4" t="s">
        <v>64</v>
      </c>
      <c r="C15" s="4" t="s">
        <v>21</v>
      </c>
      <c r="D15" s="4" t="s">
        <v>31</v>
      </c>
      <c r="E15" t="str">
        <f>VLOOKUP("npm_"&amp;A15&amp;"_"&amp;B15&amp;"_"&amp;C15&amp;"_"&amp;D15,'results'!$A:$H,8,FALSE)</f>
        <v>resolution_error</v>
      </c>
      <c r="F15" t="str">
        <f>VLOOKUP("pip_"&amp;A15&amp;"_"&amp;B15&amp;"_"&amp;C15&amp;"_"&amp;D15,'results'!$A:$H,8,FALSE)</f>
        <v>private_resolved</v>
      </c>
      <c r="G15" t="str">
        <f>VLOOKUP("mvn_"&amp;A15&amp;"_"&amp;B15&amp;"_"&amp;C15&amp;"_"&amp;D15,'results'!$A:$H,8,FALSE)</f>
        <v>private_resolved</v>
      </c>
      <c r="H15" t="str">
        <f t="shared" si="0"/>
        <v>disagree</v>
      </c>
      <c r="I15" t="str">
        <f t="shared" si="1"/>
        <v>npm alone has different result</v>
      </c>
      <c r="J15">
        <f t="shared" si="2"/>
        <v>3</v>
      </c>
      <c r="K15">
        <f t="shared" si="3"/>
        <v>0</v>
      </c>
      <c r="L15" t="str">
        <f t="shared" si="4"/>
        <v>0 compromised</v>
      </c>
      <c r="P15">
        <f>COUNTIF(L2:L145,"partly compromised")</f>
        <v>11</v>
      </c>
      <c r="Q15" t="s">
        <v>919</v>
      </c>
    </row>
    <row r="16" spans="1:18" x14ac:dyDescent="0.3">
      <c r="A16" s="5" t="s">
        <v>19</v>
      </c>
      <c r="B16" s="5" t="s">
        <v>64</v>
      </c>
      <c r="C16" s="5" t="s">
        <v>34</v>
      </c>
      <c r="D16" s="5" t="s">
        <v>22</v>
      </c>
      <c r="E16" t="str">
        <f>VLOOKUP("npm_"&amp;A16&amp;"_"&amp;B16&amp;"_"&amp;C16&amp;"_"&amp;D16,'results'!$A:$H,8,FALSE)</f>
        <v>malicious_resolved</v>
      </c>
      <c r="F16" t="str">
        <f>VLOOKUP("pip_"&amp;A16&amp;"_"&amp;B16&amp;"_"&amp;C16&amp;"_"&amp;D16,'results'!$A:$H,8,FALSE)</f>
        <v>malicious_resolved</v>
      </c>
      <c r="G16" t="str">
        <f>VLOOKUP("mvn_"&amp;A16&amp;"_"&amp;B16&amp;"_"&amp;C16&amp;"_"&amp;D16,'results'!$A:$H,8,FALSE)</f>
        <v>malicious_resolved</v>
      </c>
      <c r="H16" t="str">
        <f t="shared" si="0"/>
        <v>agree</v>
      </c>
      <c r="I16" t="str">
        <f t="shared" si="1"/>
        <v/>
      </c>
      <c r="J16">
        <f t="shared" si="2"/>
        <v>3</v>
      </c>
      <c r="K16">
        <f t="shared" si="3"/>
        <v>3</v>
      </c>
      <c r="L16" t="str">
        <f t="shared" si="4"/>
        <v>all compromised</v>
      </c>
      <c r="P16">
        <f>COUNTIF(L2:L145,"all compromised")</f>
        <v>70</v>
      </c>
      <c r="Q16" t="s">
        <v>920</v>
      </c>
    </row>
    <row r="17" spans="1:17" x14ac:dyDescent="0.3">
      <c r="A17" s="4" t="s">
        <v>19</v>
      </c>
      <c r="B17" s="4" t="s">
        <v>64</v>
      </c>
      <c r="C17" s="4" t="s">
        <v>34</v>
      </c>
      <c r="D17" s="4" t="s">
        <v>31</v>
      </c>
      <c r="E17" t="str">
        <f>VLOOKUP("npm_"&amp;A17&amp;"_"&amp;B17&amp;"_"&amp;C17&amp;"_"&amp;D17,'results'!$A:$H,8,FALSE)</f>
        <v>malicious_resolved</v>
      </c>
      <c r="F17" t="str">
        <f>VLOOKUP("pip_"&amp;A17&amp;"_"&amp;B17&amp;"_"&amp;C17&amp;"_"&amp;D17,'results'!$A:$H,8,FALSE)</f>
        <v>malicious_resolved</v>
      </c>
      <c r="G17" t="str">
        <f>VLOOKUP("mvn_"&amp;A17&amp;"_"&amp;B17&amp;"_"&amp;C17&amp;"_"&amp;D17,'results'!$A:$H,8,FALSE)</f>
        <v>malicious_resolved</v>
      </c>
      <c r="H17" t="str">
        <f t="shared" si="0"/>
        <v>agree</v>
      </c>
      <c r="I17" t="str">
        <f t="shared" si="1"/>
        <v/>
      </c>
      <c r="J17">
        <f t="shared" si="2"/>
        <v>3</v>
      </c>
      <c r="K17">
        <f t="shared" si="3"/>
        <v>3</v>
      </c>
      <c r="L17" t="str">
        <f t="shared" si="4"/>
        <v>all compromised</v>
      </c>
      <c r="P17">
        <f>COUNTIF(L2:L145,"all invalid cells")</f>
        <v>9</v>
      </c>
      <c r="Q17" t="s">
        <v>921</v>
      </c>
    </row>
    <row r="18" spans="1:17" x14ac:dyDescent="0.3">
      <c r="A18" s="5" t="s">
        <v>19</v>
      </c>
      <c r="B18" s="5" t="s">
        <v>64</v>
      </c>
      <c r="C18" s="5" t="s">
        <v>42</v>
      </c>
      <c r="D18" s="5" t="s">
        <v>22</v>
      </c>
      <c r="E18" t="str">
        <f>VLOOKUP("npm_"&amp;A18&amp;"_"&amp;B18&amp;"_"&amp;C18&amp;"_"&amp;D18,'results'!$A:$H,8,FALSE)</f>
        <v>malicious_resolved</v>
      </c>
      <c r="F18" t="str">
        <f>VLOOKUP("pip_"&amp;A18&amp;"_"&amp;B18&amp;"_"&amp;C18&amp;"_"&amp;D18,'results'!$A:$H,8,FALSE)</f>
        <v>malicious_resolved</v>
      </c>
      <c r="G18" t="str">
        <f>VLOOKUP("mvn_"&amp;A18&amp;"_"&amp;B18&amp;"_"&amp;C18&amp;"_"&amp;D18,'results'!$A:$H,8,FALSE)</f>
        <v>invalid_configuration</v>
      </c>
      <c r="H18" t="str">
        <f t="shared" si="0"/>
        <v>agree</v>
      </c>
      <c r="I18" t="str">
        <f t="shared" si="1"/>
        <v/>
      </c>
      <c r="J18">
        <f t="shared" si="2"/>
        <v>2</v>
      </c>
      <c r="K18">
        <f t="shared" si="3"/>
        <v>2</v>
      </c>
      <c r="L18" t="str">
        <f t="shared" si="4"/>
        <v>all compromised</v>
      </c>
      <c r="P18">
        <f>COUNTIFS(L2:L145,"all compromised",J2:J145,3)</f>
        <v>35</v>
      </c>
      <c r="Q18" t="s">
        <v>924</v>
      </c>
    </row>
    <row r="19" spans="1:17" x14ac:dyDescent="0.3">
      <c r="A19" s="4" t="s">
        <v>19</v>
      </c>
      <c r="B19" s="4" t="s">
        <v>64</v>
      </c>
      <c r="C19" s="4" t="s">
        <v>42</v>
      </c>
      <c r="D19" s="4" t="s">
        <v>31</v>
      </c>
      <c r="E19" t="str">
        <f>VLOOKUP("npm_"&amp;A19&amp;"_"&amp;B19&amp;"_"&amp;C19&amp;"_"&amp;D19,'results'!$A:$H,8,FALSE)</f>
        <v>malicious_resolved</v>
      </c>
      <c r="F19" t="str">
        <f>VLOOKUP("pip_"&amp;A19&amp;"_"&amp;B19&amp;"_"&amp;C19&amp;"_"&amp;D19,'results'!$A:$H,8,FALSE)</f>
        <v>malicious_resolved</v>
      </c>
      <c r="G19" t="str">
        <f>VLOOKUP("mvn_"&amp;A19&amp;"_"&amp;B19&amp;"_"&amp;C19&amp;"_"&amp;D19,'results'!$A:$H,8,FALSE)</f>
        <v>invalid_configuration</v>
      </c>
      <c r="H19" t="str">
        <f t="shared" si="0"/>
        <v>agree</v>
      </c>
      <c r="I19" t="str">
        <f t="shared" si="1"/>
        <v/>
      </c>
      <c r="J19">
        <f t="shared" si="2"/>
        <v>2</v>
      </c>
      <c r="K19">
        <f t="shared" si="3"/>
        <v>2</v>
      </c>
      <c r="L19" t="str">
        <f t="shared" si="4"/>
        <v>all compromised</v>
      </c>
    </row>
    <row r="20" spans="1:17" x14ac:dyDescent="0.3">
      <c r="A20" s="5" t="s">
        <v>19</v>
      </c>
      <c r="B20" s="5" t="s">
        <v>79</v>
      </c>
      <c r="C20" s="5" t="s">
        <v>21</v>
      </c>
      <c r="D20" s="5" t="s">
        <v>22</v>
      </c>
      <c r="E20" t="str">
        <f>VLOOKUP("npm_"&amp;A20&amp;"_"&amp;B20&amp;"_"&amp;C20&amp;"_"&amp;D20,'results'!$A:$H,8,FALSE)</f>
        <v>resolution_error</v>
      </c>
      <c r="F20" t="str">
        <f>VLOOKUP("pip_"&amp;A20&amp;"_"&amp;B20&amp;"_"&amp;C20&amp;"_"&amp;D20,'results'!$A:$H,8,FALSE)</f>
        <v>resolution_error</v>
      </c>
      <c r="G20" t="str">
        <f>VLOOKUP("mvn_"&amp;A20&amp;"_"&amp;B20&amp;"_"&amp;C20&amp;"_"&amp;D20,'results'!$A:$H,8,FALSE)</f>
        <v>resolution_error</v>
      </c>
      <c r="H20" t="str">
        <f t="shared" si="0"/>
        <v>agree</v>
      </c>
      <c r="I20" t="str">
        <f t="shared" si="1"/>
        <v/>
      </c>
      <c r="J20">
        <f t="shared" si="2"/>
        <v>3</v>
      </c>
      <c r="K20">
        <f t="shared" si="3"/>
        <v>0</v>
      </c>
      <c r="L20" t="str">
        <f t="shared" si="4"/>
        <v>0 compromised</v>
      </c>
    </row>
    <row r="21" spans="1:17" x14ac:dyDescent="0.3">
      <c r="A21" s="4" t="s">
        <v>19</v>
      </c>
      <c r="B21" s="4" t="s">
        <v>79</v>
      </c>
      <c r="C21" s="4" t="s">
        <v>21</v>
      </c>
      <c r="D21" s="4" t="s">
        <v>31</v>
      </c>
      <c r="E21" t="str">
        <f>VLOOKUP("npm_"&amp;A21&amp;"_"&amp;B21&amp;"_"&amp;C21&amp;"_"&amp;D21,'results'!$A:$H,8,FALSE)</f>
        <v>resolution_error</v>
      </c>
      <c r="F21" t="str">
        <f>VLOOKUP("pip_"&amp;A21&amp;"_"&amp;B21&amp;"_"&amp;C21&amp;"_"&amp;D21,'results'!$A:$H,8,FALSE)</f>
        <v>resolution_error</v>
      </c>
      <c r="G21" t="str">
        <f>VLOOKUP("mvn_"&amp;A21&amp;"_"&amp;B21&amp;"_"&amp;C21&amp;"_"&amp;D21,'results'!$A:$H,8,FALSE)</f>
        <v>resolution_error</v>
      </c>
      <c r="H21" t="str">
        <f t="shared" si="0"/>
        <v>agree</v>
      </c>
      <c r="I21" t="str">
        <f t="shared" si="1"/>
        <v/>
      </c>
      <c r="J21">
        <f t="shared" si="2"/>
        <v>3</v>
      </c>
      <c r="K21">
        <f t="shared" si="3"/>
        <v>0</v>
      </c>
      <c r="L21" t="str">
        <f t="shared" si="4"/>
        <v>0 compromised</v>
      </c>
    </row>
    <row r="22" spans="1:17" x14ac:dyDescent="0.3">
      <c r="A22" s="5" t="s">
        <v>19</v>
      </c>
      <c r="B22" s="5" t="s">
        <v>79</v>
      </c>
      <c r="C22" s="5" t="s">
        <v>34</v>
      </c>
      <c r="D22" s="5" t="s">
        <v>22</v>
      </c>
      <c r="E22" t="str">
        <f>VLOOKUP("npm_"&amp;A22&amp;"_"&amp;B22&amp;"_"&amp;C22&amp;"_"&amp;D22,'results'!$A:$H,8,FALSE)</f>
        <v>malicious_resolved</v>
      </c>
      <c r="F22" t="str">
        <f>VLOOKUP("pip_"&amp;A22&amp;"_"&amp;B22&amp;"_"&amp;C22&amp;"_"&amp;D22,'results'!$A:$H,8,FALSE)</f>
        <v>malicious_resolved</v>
      </c>
      <c r="G22" t="str">
        <f>VLOOKUP("mvn_"&amp;A22&amp;"_"&amp;B22&amp;"_"&amp;C22&amp;"_"&amp;D22,'results'!$A:$H,8,FALSE)</f>
        <v>malicious_resolved</v>
      </c>
      <c r="H22" t="str">
        <f t="shared" si="0"/>
        <v>agree</v>
      </c>
      <c r="I22" t="str">
        <f t="shared" si="1"/>
        <v/>
      </c>
      <c r="J22">
        <f t="shared" si="2"/>
        <v>3</v>
      </c>
      <c r="K22">
        <f t="shared" si="3"/>
        <v>3</v>
      </c>
      <c r="L22" t="str">
        <f t="shared" si="4"/>
        <v>all compromised</v>
      </c>
    </row>
    <row r="23" spans="1:17" x14ac:dyDescent="0.3">
      <c r="A23" s="4" t="s">
        <v>19</v>
      </c>
      <c r="B23" s="4" t="s">
        <v>79</v>
      </c>
      <c r="C23" s="4" t="s">
        <v>34</v>
      </c>
      <c r="D23" s="4" t="s">
        <v>31</v>
      </c>
      <c r="E23" t="str">
        <f>VLOOKUP("npm_"&amp;A23&amp;"_"&amp;B23&amp;"_"&amp;C23&amp;"_"&amp;D23,'results'!$A:$H,8,FALSE)</f>
        <v>malicious_resolved</v>
      </c>
      <c r="F23" t="str">
        <f>VLOOKUP("pip_"&amp;A23&amp;"_"&amp;B23&amp;"_"&amp;C23&amp;"_"&amp;D23,'results'!$A:$H,8,FALSE)</f>
        <v>malicious_resolved</v>
      </c>
      <c r="G23" t="str">
        <f>VLOOKUP("mvn_"&amp;A23&amp;"_"&amp;B23&amp;"_"&amp;C23&amp;"_"&amp;D23,'results'!$A:$H,8,FALSE)</f>
        <v>malicious_resolved</v>
      </c>
      <c r="H23" t="str">
        <f t="shared" si="0"/>
        <v>agree</v>
      </c>
      <c r="I23" t="str">
        <f t="shared" si="1"/>
        <v/>
      </c>
      <c r="J23">
        <f t="shared" si="2"/>
        <v>3</v>
      </c>
      <c r="K23">
        <f t="shared" si="3"/>
        <v>3</v>
      </c>
      <c r="L23" t="str">
        <f t="shared" si="4"/>
        <v>all compromised</v>
      </c>
    </row>
    <row r="24" spans="1:17" x14ac:dyDescent="0.3">
      <c r="A24" s="5" t="s">
        <v>19</v>
      </c>
      <c r="B24" s="5" t="s">
        <v>79</v>
      </c>
      <c r="C24" s="5" t="s">
        <v>42</v>
      </c>
      <c r="D24" s="5" t="s">
        <v>22</v>
      </c>
      <c r="E24" t="str">
        <f>VLOOKUP("npm_"&amp;A24&amp;"_"&amp;B24&amp;"_"&amp;C24&amp;"_"&amp;D24,'results'!$A:$H,8,FALSE)</f>
        <v>malicious_resolved</v>
      </c>
      <c r="F24" t="str">
        <f>VLOOKUP("pip_"&amp;A24&amp;"_"&amp;B24&amp;"_"&amp;C24&amp;"_"&amp;D24,'results'!$A:$H,8,FALSE)</f>
        <v>malicious_resolved</v>
      </c>
      <c r="G24" t="str">
        <f>VLOOKUP("mvn_"&amp;A24&amp;"_"&amp;B24&amp;"_"&amp;C24&amp;"_"&amp;D24,'results'!$A:$H,8,FALSE)</f>
        <v>invalid_configuration</v>
      </c>
      <c r="H24" t="str">
        <f t="shared" si="0"/>
        <v>agree</v>
      </c>
      <c r="I24" t="str">
        <f t="shared" si="1"/>
        <v/>
      </c>
      <c r="J24">
        <f t="shared" si="2"/>
        <v>2</v>
      </c>
      <c r="K24">
        <f t="shared" si="3"/>
        <v>2</v>
      </c>
      <c r="L24" t="str">
        <f t="shared" si="4"/>
        <v>all compromised</v>
      </c>
    </row>
    <row r="25" spans="1:17" x14ac:dyDescent="0.3">
      <c r="A25" s="4" t="s">
        <v>19</v>
      </c>
      <c r="B25" s="4" t="s">
        <v>79</v>
      </c>
      <c r="C25" s="4" t="s">
        <v>42</v>
      </c>
      <c r="D25" s="4" t="s">
        <v>31</v>
      </c>
      <c r="E25" t="str">
        <f>VLOOKUP("npm_"&amp;A25&amp;"_"&amp;B25&amp;"_"&amp;C25&amp;"_"&amp;D25,'results'!$A:$H,8,FALSE)</f>
        <v>malicious_resolved</v>
      </c>
      <c r="F25" t="str">
        <f>VLOOKUP("pip_"&amp;A25&amp;"_"&amp;B25&amp;"_"&amp;C25&amp;"_"&amp;D25,'results'!$A:$H,8,FALSE)</f>
        <v>malicious_resolved</v>
      </c>
      <c r="G25" t="str">
        <f>VLOOKUP("mvn_"&amp;A25&amp;"_"&amp;B25&amp;"_"&amp;C25&amp;"_"&amp;D25,'results'!$A:$H,8,FALSE)</f>
        <v>invalid_configuration</v>
      </c>
      <c r="H25" t="str">
        <f t="shared" si="0"/>
        <v>agree</v>
      </c>
      <c r="I25" t="str">
        <f t="shared" si="1"/>
        <v/>
      </c>
      <c r="J25">
        <f t="shared" si="2"/>
        <v>2</v>
      </c>
      <c r="K25">
        <f t="shared" si="3"/>
        <v>2</v>
      </c>
      <c r="L25" t="str">
        <f t="shared" si="4"/>
        <v>all compromised</v>
      </c>
    </row>
    <row r="26" spans="1:17" x14ac:dyDescent="0.3">
      <c r="A26" s="5" t="s">
        <v>92</v>
      </c>
      <c r="B26" s="5" t="s">
        <v>20</v>
      </c>
      <c r="C26" s="5" t="s">
        <v>21</v>
      </c>
      <c r="D26" s="5" t="s">
        <v>22</v>
      </c>
      <c r="E26" t="str">
        <f>VLOOKUP("npm_"&amp;A26&amp;"_"&amp;B26&amp;"_"&amp;C26&amp;"_"&amp;D26,'results'!$A:$H,8,FALSE)</f>
        <v>private_resolved</v>
      </c>
      <c r="F26" t="str">
        <f>VLOOKUP("pip_"&amp;A26&amp;"_"&amp;B26&amp;"_"&amp;C26&amp;"_"&amp;D26,'results'!$A:$H,8,FALSE)</f>
        <v>private_resolved</v>
      </c>
      <c r="G26" t="str">
        <f>VLOOKUP("mvn_"&amp;A26&amp;"_"&amp;B26&amp;"_"&amp;C26&amp;"_"&amp;D26,'results'!$A:$H,8,FALSE)</f>
        <v>private_resolved</v>
      </c>
      <c r="H26" t="str">
        <f t="shared" si="0"/>
        <v>agree</v>
      </c>
      <c r="I26" t="str">
        <f t="shared" si="1"/>
        <v/>
      </c>
      <c r="J26">
        <f t="shared" si="2"/>
        <v>3</v>
      </c>
      <c r="K26">
        <f t="shared" si="3"/>
        <v>0</v>
      </c>
      <c r="L26" t="str">
        <f t="shared" si="4"/>
        <v>0 compromised</v>
      </c>
    </row>
    <row r="27" spans="1:17" x14ac:dyDescent="0.3">
      <c r="A27" s="4" t="s">
        <v>92</v>
      </c>
      <c r="B27" s="4" t="s">
        <v>20</v>
      </c>
      <c r="C27" s="4" t="s">
        <v>21</v>
      </c>
      <c r="D27" s="4" t="s">
        <v>31</v>
      </c>
      <c r="E27" t="str">
        <f>VLOOKUP("npm_"&amp;A27&amp;"_"&amp;B27&amp;"_"&amp;C27&amp;"_"&amp;D27,'results'!$A:$H,8,FALSE)</f>
        <v>private_resolved</v>
      </c>
      <c r="F27" t="str">
        <f>VLOOKUP("pip_"&amp;A27&amp;"_"&amp;B27&amp;"_"&amp;C27&amp;"_"&amp;D27,'results'!$A:$H,8,FALSE)</f>
        <v>private_resolved</v>
      </c>
      <c r="G27" t="str">
        <f>VLOOKUP("mvn_"&amp;A27&amp;"_"&amp;B27&amp;"_"&amp;C27&amp;"_"&amp;D27,'results'!$A:$H,8,FALSE)</f>
        <v>private_resolved</v>
      </c>
      <c r="H27" t="str">
        <f t="shared" si="0"/>
        <v>agree</v>
      </c>
      <c r="I27" t="str">
        <f t="shared" si="1"/>
        <v/>
      </c>
      <c r="J27">
        <f t="shared" si="2"/>
        <v>3</v>
      </c>
      <c r="K27">
        <f t="shared" si="3"/>
        <v>0</v>
      </c>
      <c r="L27" t="str">
        <f t="shared" si="4"/>
        <v>0 compromised</v>
      </c>
    </row>
    <row r="28" spans="1:17" x14ac:dyDescent="0.3">
      <c r="A28" s="5" t="s">
        <v>92</v>
      </c>
      <c r="B28" s="5" t="s">
        <v>20</v>
      </c>
      <c r="C28" s="5" t="s">
        <v>34</v>
      </c>
      <c r="D28" s="5" t="s">
        <v>22</v>
      </c>
      <c r="E28" t="str">
        <f>VLOOKUP("npm_"&amp;A28&amp;"_"&amp;B28&amp;"_"&amp;C28&amp;"_"&amp;D28,'results'!$A:$H,8,FALSE)</f>
        <v>malicious_resolved</v>
      </c>
      <c r="F28" t="str">
        <f>VLOOKUP("pip_"&amp;A28&amp;"_"&amp;B28&amp;"_"&amp;C28&amp;"_"&amp;D28,'results'!$A:$H,8,FALSE)</f>
        <v>malicious_resolved</v>
      </c>
      <c r="G28" t="str">
        <f>VLOOKUP("mvn_"&amp;A28&amp;"_"&amp;B28&amp;"_"&amp;C28&amp;"_"&amp;D28,'results'!$A:$H,8,FALSE)</f>
        <v>malicious_resolved</v>
      </c>
      <c r="H28" t="str">
        <f t="shared" si="0"/>
        <v>agree</v>
      </c>
      <c r="I28" t="str">
        <f t="shared" si="1"/>
        <v/>
      </c>
      <c r="J28">
        <f t="shared" si="2"/>
        <v>3</v>
      </c>
      <c r="K28">
        <f t="shared" si="3"/>
        <v>3</v>
      </c>
      <c r="L28" t="str">
        <f t="shared" si="4"/>
        <v>all compromised</v>
      </c>
    </row>
    <row r="29" spans="1:17" x14ac:dyDescent="0.3">
      <c r="A29" s="4" t="s">
        <v>92</v>
      </c>
      <c r="B29" s="4" t="s">
        <v>20</v>
      </c>
      <c r="C29" s="4" t="s">
        <v>34</v>
      </c>
      <c r="D29" s="4" t="s">
        <v>31</v>
      </c>
      <c r="E29" t="str">
        <f>VLOOKUP("npm_"&amp;A29&amp;"_"&amp;B29&amp;"_"&amp;C29&amp;"_"&amp;D29,'results'!$A:$H,8,FALSE)</f>
        <v>malicious_resolved</v>
      </c>
      <c r="F29" t="str">
        <f>VLOOKUP("pip_"&amp;A29&amp;"_"&amp;B29&amp;"_"&amp;C29&amp;"_"&amp;D29,'results'!$A:$H,8,FALSE)</f>
        <v>malicious_resolved</v>
      </c>
      <c r="G29" t="str">
        <f>VLOOKUP("mvn_"&amp;A29&amp;"_"&amp;B29&amp;"_"&amp;C29&amp;"_"&amp;D29,'results'!$A:$H,8,FALSE)</f>
        <v>malicious_resolved</v>
      </c>
      <c r="H29" t="str">
        <f t="shared" si="0"/>
        <v>agree</v>
      </c>
      <c r="I29" t="str">
        <f t="shared" si="1"/>
        <v/>
      </c>
      <c r="J29">
        <f t="shared" si="2"/>
        <v>3</v>
      </c>
      <c r="K29">
        <f t="shared" si="3"/>
        <v>3</v>
      </c>
      <c r="L29" t="str">
        <f t="shared" si="4"/>
        <v>all compromised</v>
      </c>
    </row>
    <row r="30" spans="1:17" x14ac:dyDescent="0.3">
      <c r="A30" s="5" t="s">
        <v>92</v>
      </c>
      <c r="B30" s="5" t="s">
        <v>20</v>
      </c>
      <c r="C30" s="5" t="s">
        <v>42</v>
      </c>
      <c r="D30" s="5" t="s">
        <v>22</v>
      </c>
      <c r="E30" t="str">
        <f>VLOOKUP("npm_"&amp;A30&amp;"_"&amp;B30&amp;"_"&amp;C30&amp;"_"&amp;D30,'results'!$A:$H,8,FALSE)</f>
        <v>malicious_resolved</v>
      </c>
      <c r="F30" t="str">
        <f>VLOOKUP("pip_"&amp;A30&amp;"_"&amp;B30&amp;"_"&amp;C30&amp;"_"&amp;D30,'results'!$A:$H,8,FALSE)</f>
        <v>malicious_resolved</v>
      </c>
      <c r="G30" t="str">
        <f>VLOOKUP("mvn_"&amp;A30&amp;"_"&amp;B30&amp;"_"&amp;C30&amp;"_"&amp;D30,'results'!$A:$H,8,FALSE)</f>
        <v>invalid_configuration</v>
      </c>
      <c r="H30" t="str">
        <f t="shared" si="0"/>
        <v>agree</v>
      </c>
      <c r="I30" t="str">
        <f t="shared" si="1"/>
        <v/>
      </c>
      <c r="J30">
        <f t="shared" si="2"/>
        <v>2</v>
      </c>
      <c r="K30">
        <f t="shared" si="3"/>
        <v>2</v>
      </c>
      <c r="L30" t="str">
        <f t="shared" si="4"/>
        <v>all compromised</v>
      </c>
    </row>
    <row r="31" spans="1:17" x14ac:dyDescent="0.3">
      <c r="A31" s="4" t="s">
        <v>92</v>
      </c>
      <c r="B31" s="4" t="s">
        <v>20</v>
      </c>
      <c r="C31" s="4" t="s">
        <v>42</v>
      </c>
      <c r="D31" s="4" t="s">
        <v>31</v>
      </c>
      <c r="E31" t="str">
        <f>VLOOKUP("npm_"&amp;A31&amp;"_"&amp;B31&amp;"_"&amp;C31&amp;"_"&amp;D31,'results'!$A:$H,8,FALSE)</f>
        <v>malicious_resolved</v>
      </c>
      <c r="F31" t="str">
        <f>VLOOKUP("pip_"&amp;A31&amp;"_"&amp;B31&amp;"_"&amp;C31&amp;"_"&amp;D31,'results'!$A:$H,8,FALSE)</f>
        <v>malicious_resolved</v>
      </c>
      <c r="G31" t="str">
        <f>VLOOKUP("mvn_"&amp;A31&amp;"_"&amp;B31&amp;"_"&amp;C31&amp;"_"&amp;D31,'results'!$A:$H,8,FALSE)</f>
        <v>invalid_configuration</v>
      </c>
      <c r="H31" t="str">
        <f t="shared" si="0"/>
        <v>agree</v>
      </c>
      <c r="I31" t="str">
        <f t="shared" si="1"/>
        <v/>
      </c>
      <c r="J31">
        <f t="shared" si="2"/>
        <v>2</v>
      </c>
      <c r="K31">
        <f t="shared" si="3"/>
        <v>2</v>
      </c>
      <c r="L31" t="str">
        <f t="shared" si="4"/>
        <v>all compromised</v>
      </c>
    </row>
    <row r="32" spans="1:17" x14ac:dyDescent="0.3">
      <c r="A32" s="5" t="s">
        <v>92</v>
      </c>
      <c r="B32" s="5" t="s">
        <v>47</v>
      </c>
      <c r="C32" s="5" t="s">
        <v>21</v>
      </c>
      <c r="D32" s="5" t="s">
        <v>22</v>
      </c>
      <c r="E32" t="str">
        <f>VLOOKUP("npm_"&amp;A32&amp;"_"&amp;B32&amp;"_"&amp;C32&amp;"_"&amp;D32,'results'!$A:$H,8,FALSE)</f>
        <v>resolution_error</v>
      </c>
      <c r="F32" t="str">
        <f>VLOOKUP("pip_"&amp;A32&amp;"_"&amp;B32&amp;"_"&amp;C32&amp;"_"&amp;D32,'results'!$A:$H,8,FALSE)</f>
        <v>private_resolved</v>
      </c>
      <c r="G32" t="str">
        <f>VLOOKUP("mvn_"&amp;A32&amp;"_"&amp;B32&amp;"_"&amp;C32&amp;"_"&amp;D32,'results'!$A:$H,8,FALSE)</f>
        <v>private_resolved</v>
      </c>
      <c r="H32" t="str">
        <f t="shared" si="0"/>
        <v>disagree</v>
      </c>
      <c r="I32" t="str">
        <f t="shared" si="1"/>
        <v>npm alone has different result</v>
      </c>
      <c r="J32">
        <f t="shared" si="2"/>
        <v>3</v>
      </c>
      <c r="K32">
        <f t="shared" si="3"/>
        <v>0</v>
      </c>
      <c r="L32" t="str">
        <f t="shared" si="4"/>
        <v>0 compromised</v>
      </c>
    </row>
    <row r="33" spans="1:12" x14ac:dyDescent="0.3">
      <c r="A33" s="4" t="s">
        <v>92</v>
      </c>
      <c r="B33" s="4" t="s">
        <v>47</v>
      </c>
      <c r="C33" s="4" t="s">
        <v>21</v>
      </c>
      <c r="D33" s="4" t="s">
        <v>31</v>
      </c>
      <c r="E33" t="str">
        <f>VLOOKUP("npm_"&amp;A33&amp;"_"&amp;B33&amp;"_"&amp;C33&amp;"_"&amp;D33,'results'!$A:$H,8,FALSE)</f>
        <v>resolution_error</v>
      </c>
      <c r="F33" t="str">
        <f>VLOOKUP("pip_"&amp;A33&amp;"_"&amp;B33&amp;"_"&amp;C33&amp;"_"&amp;D33,'results'!$A:$H,8,FALSE)</f>
        <v>private_resolved</v>
      </c>
      <c r="G33" t="str">
        <f>VLOOKUP("mvn_"&amp;A33&amp;"_"&amp;B33&amp;"_"&amp;C33&amp;"_"&amp;D33,'results'!$A:$H,8,FALSE)</f>
        <v>private_resolved</v>
      </c>
      <c r="H33" t="str">
        <f t="shared" si="0"/>
        <v>disagree</v>
      </c>
      <c r="I33" t="str">
        <f t="shared" si="1"/>
        <v>npm alone has different result</v>
      </c>
      <c r="J33">
        <f t="shared" si="2"/>
        <v>3</v>
      </c>
      <c r="K33">
        <f t="shared" si="3"/>
        <v>0</v>
      </c>
      <c r="L33" t="str">
        <f t="shared" si="4"/>
        <v>0 compromised</v>
      </c>
    </row>
    <row r="34" spans="1:12" x14ac:dyDescent="0.3">
      <c r="A34" s="5" t="s">
        <v>92</v>
      </c>
      <c r="B34" s="5" t="s">
        <v>47</v>
      </c>
      <c r="C34" s="5" t="s">
        <v>34</v>
      </c>
      <c r="D34" s="5" t="s">
        <v>22</v>
      </c>
      <c r="E34" t="str">
        <f>VLOOKUP("npm_"&amp;A34&amp;"_"&amp;B34&amp;"_"&amp;C34&amp;"_"&amp;D34,'results'!$A:$H,8,FALSE)</f>
        <v>malicious_resolved</v>
      </c>
      <c r="F34" t="str">
        <f>VLOOKUP("pip_"&amp;A34&amp;"_"&amp;B34&amp;"_"&amp;C34&amp;"_"&amp;D34,'results'!$A:$H,8,FALSE)</f>
        <v>malicious_resolved</v>
      </c>
      <c r="G34" t="str">
        <f>VLOOKUP("mvn_"&amp;A34&amp;"_"&amp;B34&amp;"_"&amp;C34&amp;"_"&amp;D34,'results'!$A:$H,8,FALSE)</f>
        <v>malicious_resolved</v>
      </c>
      <c r="H34" t="str">
        <f t="shared" si="0"/>
        <v>agree</v>
      </c>
      <c r="I34" t="str">
        <f t="shared" si="1"/>
        <v/>
      </c>
      <c r="J34">
        <f t="shared" si="2"/>
        <v>3</v>
      </c>
      <c r="K34">
        <f t="shared" si="3"/>
        <v>3</v>
      </c>
      <c r="L34" t="str">
        <f t="shared" si="4"/>
        <v>all compromised</v>
      </c>
    </row>
    <row r="35" spans="1:12" x14ac:dyDescent="0.3">
      <c r="A35" s="4" t="s">
        <v>92</v>
      </c>
      <c r="B35" s="4" t="s">
        <v>47</v>
      </c>
      <c r="C35" s="4" t="s">
        <v>34</v>
      </c>
      <c r="D35" s="4" t="s">
        <v>31</v>
      </c>
      <c r="E35" t="str">
        <f>VLOOKUP("npm_"&amp;A35&amp;"_"&amp;B35&amp;"_"&amp;C35&amp;"_"&amp;D35,'results'!$A:$H,8,FALSE)</f>
        <v>malicious_resolved</v>
      </c>
      <c r="F35" t="str">
        <f>VLOOKUP("pip_"&amp;A35&amp;"_"&amp;B35&amp;"_"&amp;C35&amp;"_"&amp;D35,'results'!$A:$H,8,FALSE)</f>
        <v>malicious_resolved</v>
      </c>
      <c r="G35" t="str">
        <f>VLOOKUP("mvn_"&amp;A35&amp;"_"&amp;B35&amp;"_"&amp;C35&amp;"_"&amp;D35,'results'!$A:$H,8,FALSE)</f>
        <v>malicious_resolved</v>
      </c>
      <c r="H35" t="str">
        <f t="shared" si="0"/>
        <v>agree</v>
      </c>
      <c r="I35" t="str">
        <f t="shared" si="1"/>
        <v/>
      </c>
      <c r="J35">
        <f t="shared" si="2"/>
        <v>3</v>
      </c>
      <c r="K35">
        <f t="shared" si="3"/>
        <v>3</v>
      </c>
      <c r="L35" t="str">
        <f t="shared" si="4"/>
        <v>all compromised</v>
      </c>
    </row>
    <row r="36" spans="1:12" x14ac:dyDescent="0.3">
      <c r="A36" s="5" t="s">
        <v>92</v>
      </c>
      <c r="B36" s="5" t="s">
        <v>47</v>
      </c>
      <c r="C36" s="5" t="s">
        <v>42</v>
      </c>
      <c r="D36" s="5" t="s">
        <v>22</v>
      </c>
      <c r="E36" t="str">
        <f>VLOOKUP("npm_"&amp;A36&amp;"_"&amp;B36&amp;"_"&amp;C36&amp;"_"&amp;D36,'results'!$A:$H,8,FALSE)</f>
        <v>malicious_resolved</v>
      </c>
      <c r="F36" t="str">
        <f>VLOOKUP("pip_"&amp;A36&amp;"_"&amp;B36&amp;"_"&amp;C36&amp;"_"&amp;D36,'results'!$A:$H,8,FALSE)</f>
        <v>malicious_resolved</v>
      </c>
      <c r="G36" t="str">
        <f>VLOOKUP("mvn_"&amp;A36&amp;"_"&amp;B36&amp;"_"&amp;C36&amp;"_"&amp;D36,'results'!$A:$H,8,FALSE)</f>
        <v>invalid_configuration</v>
      </c>
      <c r="H36" t="str">
        <f t="shared" si="0"/>
        <v>agree</v>
      </c>
      <c r="I36" t="str">
        <f t="shared" si="1"/>
        <v/>
      </c>
      <c r="J36">
        <f t="shared" si="2"/>
        <v>2</v>
      </c>
      <c r="K36">
        <f t="shared" si="3"/>
        <v>2</v>
      </c>
      <c r="L36" t="str">
        <f t="shared" si="4"/>
        <v>all compromised</v>
      </c>
    </row>
    <row r="37" spans="1:12" x14ac:dyDescent="0.3">
      <c r="A37" s="4" t="s">
        <v>92</v>
      </c>
      <c r="B37" s="4" t="s">
        <v>47</v>
      </c>
      <c r="C37" s="4" t="s">
        <v>42</v>
      </c>
      <c r="D37" s="4" t="s">
        <v>31</v>
      </c>
      <c r="E37" t="str">
        <f>VLOOKUP("npm_"&amp;A37&amp;"_"&amp;B37&amp;"_"&amp;C37&amp;"_"&amp;D37,'results'!$A:$H,8,FALSE)</f>
        <v>malicious_resolved</v>
      </c>
      <c r="F37" t="str">
        <f>VLOOKUP("pip_"&amp;A37&amp;"_"&amp;B37&amp;"_"&amp;C37&amp;"_"&amp;D37,'results'!$A:$H,8,FALSE)</f>
        <v>malicious_resolved</v>
      </c>
      <c r="G37" t="str">
        <f>VLOOKUP("mvn_"&amp;A37&amp;"_"&amp;B37&amp;"_"&amp;C37&amp;"_"&amp;D37,'results'!$A:$H,8,FALSE)</f>
        <v>invalid_configuration</v>
      </c>
      <c r="H37" t="str">
        <f t="shared" si="0"/>
        <v>agree</v>
      </c>
      <c r="I37" t="str">
        <f t="shared" si="1"/>
        <v/>
      </c>
      <c r="J37">
        <f t="shared" si="2"/>
        <v>2</v>
      </c>
      <c r="K37">
        <f t="shared" si="3"/>
        <v>2</v>
      </c>
      <c r="L37" t="str">
        <f t="shared" si="4"/>
        <v>all compromised</v>
      </c>
    </row>
    <row r="38" spans="1:12" x14ac:dyDescent="0.3">
      <c r="A38" s="5" t="s">
        <v>92</v>
      </c>
      <c r="B38" s="5" t="s">
        <v>64</v>
      </c>
      <c r="C38" s="5" t="s">
        <v>21</v>
      </c>
      <c r="D38" s="5" t="s">
        <v>22</v>
      </c>
      <c r="E38" t="str">
        <f>VLOOKUP("npm_"&amp;A38&amp;"_"&amp;B38&amp;"_"&amp;C38&amp;"_"&amp;D38,'results'!$A:$H,8,FALSE)</f>
        <v>resolution_error</v>
      </c>
      <c r="F38" t="str">
        <f>VLOOKUP("pip_"&amp;A38&amp;"_"&amp;B38&amp;"_"&amp;C38&amp;"_"&amp;D38,'results'!$A:$H,8,FALSE)</f>
        <v>private_resolved</v>
      </c>
      <c r="G38" t="str">
        <f>VLOOKUP("mvn_"&amp;A38&amp;"_"&amp;B38&amp;"_"&amp;C38&amp;"_"&amp;D38,'results'!$A:$H,8,FALSE)</f>
        <v>private_resolved</v>
      </c>
      <c r="H38" t="str">
        <f t="shared" si="0"/>
        <v>disagree</v>
      </c>
      <c r="I38" t="str">
        <f t="shared" si="1"/>
        <v>npm alone has different result</v>
      </c>
      <c r="J38">
        <f t="shared" si="2"/>
        <v>3</v>
      </c>
      <c r="K38">
        <f t="shared" si="3"/>
        <v>0</v>
      </c>
      <c r="L38" t="str">
        <f t="shared" si="4"/>
        <v>0 compromised</v>
      </c>
    </row>
    <row r="39" spans="1:12" x14ac:dyDescent="0.3">
      <c r="A39" s="4" t="s">
        <v>92</v>
      </c>
      <c r="B39" s="4" t="s">
        <v>64</v>
      </c>
      <c r="C39" s="4" t="s">
        <v>21</v>
      </c>
      <c r="D39" s="4" t="s">
        <v>31</v>
      </c>
      <c r="E39" t="str">
        <f>VLOOKUP("npm_"&amp;A39&amp;"_"&amp;B39&amp;"_"&amp;C39&amp;"_"&amp;D39,'results'!$A:$H,8,FALSE)</f>
        <v>resolution_error</v>
      </c>
      <c r="F39" t="str">
        <f>VLOOKUP("pip_"&amp;A39&amp;"_"&amp;B39&amp;"_"&amp;C39&amp;"_"&amp;D39,'results'!$A:$H,8,FALSE)</f>
        <v>private_resolved</v>
      </c>
      <c r="G39" t="str">
        <f>VLOOKUP("mvn_"&amp;A39&amp;"_"&amp;B39&amp;"_"&amp;C39&amp;"_"&amp;D39,'results'!$A:$H,8,FALSE)</f>
        <v>private_resolved</v>
      </c>
      <c r="H39" t="str">
        <f t="shared" si="0"/>
        <v>disagree</v>
      </c>
      <c r="I39" t="str">
        <f t="shared" si="1"/>
        <v>npm alone has different result</v>
      </c>
      <c r="J39">
        <f t="shared" si="2"/>
        <v>3</v>
      </c>
      <c r="K39">
        <f t="shared" si="3"/>
        <v>0</v>
      </c>
      <c r="L39" t="str">
        <f t="shared" si="4"/>
        <v>0 compromised</v>
      </c>
    </row>
    <row r="40" spans="1:12" x14ac:dyDescent="0.3">
      <c r="A40" s="5" t="s">
        <v>92</v>
      </c>
      <c r="B40" s="5" t="s">
        <v>64</v>
      </c>
      <c r="C40" s="5" t="s">
        <v>34</v>
      </c>
      <c r="D40" s="5" t="s">
        <v>22</v>
      </c>
      <c r="E40" t="str">
        <f>VLOOKUP("npm_"&amp;A40&amp;"_"&amp;B40&amp;"_"&amp;C40&amp;"_"&amp;D40,'results'!$A:$H,8,FALSE)</f>
        <v>malicious_resolved</v>
      </c>
      <c r="F40" t="str">
        <f>VLOOKUP("pip_"&amp;A40&amp;"_"&amp;B40&amp;"_"&amp;C40&amp;"_"&amp;D40,'results'!$A:$H,8,FALSE)</f>
        <v>malicious_resolved</v>
      </c>
      <c r="G40" t="str">
        <f>VLOOKUP("mvn_"&amp;A40&amp;"_"&amp;B40&amp;"_"&amp;C40&amp;"_"&amp;D40,'results'!$A:$H,8,FALSE)</f>
        <v>malicious_resolved</v>
      </c>
      <c r="H40" t="str">
        <f t="shared" si="0"/>
        <v>agree</v>
      </c>
      <c r="I40" t="str">
        <f t="shared" si="1"/>
        <v/>
      </c>
      <c r="J40">
        <f t="shared" si="2"/>
        <v>3</v>
      </c>
      <c r="K40">
        <f t="shared" si="3"/>
        <v>3</v>
      </c>
      <c r="L40" t="str">
        <f t="shared" si="4"/>
        <v>all compromised</v>
      </c>
    </row>
    <row r="41" spans="1:12" x14ac:dyDescent="0.3">
      <c r="A41" s="4" t="s">
        <v>92</v>
      </c>
      <c r="B41" s="4" t="s">
        <v>64</v>
      </c>
      <c r="C41" s="4" t="s">
        <v>34</v>
      </c>
      <c r="D41" s="4" t="s">
        <v>31</v>
      </c>
      <c r="E41" t="str">
        <f>VLOOKUP("npm_"&amp;A41&amp;"_"&amp;B41&amp;"_"&amp;C41&amp;"_"&amp;D41,'results'!$A:$H,8,FALSE)</f>
        <v>malicious_resolved</v>
      </c>
      <c r="F41" t="str">
        <f>VLOOKUP("pip_"&amp;A41&amp;"_"&amp;B41&amp;"_"&amp;C41&amp;"_"&amp;D41,'results'!$A:$H,8,FALSE)</f>
        <v>malicious_resolved</v>
      </c>
      <c r="G41" t="str">
        <f>VLOOKUP("mvn_"&amp;A41&amp;"_"&amp;B41&amp;"_"&amp;C41&amp;"_"&amp;D41,'results'!$A:$H,8,FALSE)</f>
        <v>malicious_resolved</v>
      </c>
      <c r="H41" t="str">
        <f t="shared" si="0"/>
        <v>agree</v>
      </c>
      <c r="I41" t="str">
        <f t="shared" si="1"/>
        <v/>
      </c>
      <c r="J41">
        <f t="shared" si="2"/>
        <v>3</v>
      </c>
      <c r="K41">
        <f t="shared" si="3"/>
        <v>3</v>
      </c>
      <c r="L41" t="str">
        <f t="shared" si="4"/>
        <v>all compromised</v>
      </c>
    </row>
    <row r="42" spans="1:12" x14ac:dyDescent="0.3">
      <c r="A42" s="5" t="s">
        <v>92</v>
      </c>
      <c r="B42" s="5" t="s">
        <v>64</v>
      </c>
      <c r="C42" s="5" t="s">
        <v>42</v>
      </c>
      <c r="D42" s="5" t="s">
        <v>22</v>
      </c>
      <c r="E42" t="str">
        <f>VLOOKUP("npm_"&amp;A42&amp;"_"&amp;B42&amp;"_"&amp;C42&amp;"_"&amp;D42,'results'!$A:$H,8,FALSE)</f>
        <v>malicious_resolved</v>
      </c>
      <c r="F42" t="str">
        <f>VLOOKUP("pip_"&amp;A42&amp;"_"&amp;B42&amp;"_"&amp;C42&amp;"_"&amp;D42,'results'!$A:$H,8,FALSE)</f>
        <v>malicious_resolved</v>
      </c>
      <c r="G42" t="str">
        <f>VLOOKUP("mvn_"&amp;A42&amp;"_"&amp;B42&amp;"_"&amp;C42&amp;"_"&amp;D42,'results'!$A:$H,8,FALSE)</f>
        <v>invalid_configuration</v>
      </c>
      <c r="H42" t="str">
        <f t="shared" si="0"/>
        <v>agree</v>
      </c>
      <c r="I42" t="str">
        <f t="shared" si="1"/>
        <v/>
      </c>
      <c r="J42">
        <f t="shared" si="2"/>
        <v>2</v>
      </c>
      <c r="K42">
        <f t="shared" si="3"/>
        <v>2</v>
      </c>
      <c r="L42" t="str">
        <f t="shared" si="4"/>
        <v>all compromised</v>
      </c>
    </row>
    <row r="43" spans="1:12" x14ac:dyDescent="0.3">
      <c r="A43" s="4" t="s">
        <v>92</v>
      </c>
      <c r="B43" s="4" t="s">
        <v>64</v>
      </c>
      <c r="C43" s="4" t="s">
        <v>42</v>
      </c>
      <c r="D43" s="4" t="s">
        <v>31</v>
      </c>
      <c r="E43" t="str">
        <f>VLOOKUP("npm_"&amp;A43&amp;"_"&amp;B43&amp;"_"&amp;C43&amp;"_"&amp;D43,'results'!$A:$H,8,FALSE)</f>
        <v>malicious_resolved</v>
      </c>
      <c r="F43" t="str">
        <f>VLOOKUP("pip_"&amp;A43&amp;"_"&amp;B43&amp;"_"&amp;C43&amp;"_"&amp;D43,'results'!$A:$H,8,FALSE)</f>
        <v>malicious_resolved</v>
      </c>
      <c r="G43" t="str">
        <f>VLOOKUP("mvn_"&amp;A43&amp;"_"&amp;B43&amp;"_"&amp;C43&amp;"_"&amp;D43,'results'!$A:$H,8,FALSE)</f>
        <v>invalid_configuration</v>
      </c>
      <c r="H43" t="str">
        <f t="shared" si="0"/>
        <v>agree</v>
      </c>
      <c r="I43" t="str">
        <f t="shared" si="1"/>
        <v/>
      </c>
      <c r="J43">
        <f t="shared" si="2"/>
        <v>2</v>
      </c>
      <c r="K43">
        <f t="shared" si="3"/>
        <v>2</v>
      </c>
      <c r="L43" t="str">
        <f t="shared" si="4"/>
        <v>all compromised</v>
      </c>
    </row>
    <row r="44" spans="1:12" x14ac:dyDescent="0.3">
      <c r="A44" s="5" t="s">
        <v>92</v>
      </c>
      <c r="B44" s="5" t="s">
        <v>79</v>
      </c>
      <c r="C44" s="5" t="s">
        <v>21</v>
      </c>
      <c r="D44" s="5" t="s">
        <v>22</v>
      </c>
      <c r="E44" t="str">
        <f>VLOOKUP("npm_"&amp;A44&amp;"_"&amp;B44&amp;"_"&amp;C44&amp;"_"&amp;D44,'results'!$A:$H,8,FALSE)</f>
        <v>resolution_error</v>
      </c>
      <c r="F44" t="str">
        <f>VLOOKUP("pip_"&amp;A44&amp;"_"&amp;B44&amp;"_"&amp;C44&amp;"_"&amp;D44,'results'!$A:$H,8,FALSE)</f>
        <v>resolution_error</v>
      </c>
      <c r="G44" t="str">
        <f>VLOOKUP("mvn_"&amp;A44&amp;"_"&amp;B44&amp;"_"&amp;C44&amp;"_"&amp;D44,'results'!$A:$H,8,FALSE)</f>
        <v>resolution_error</v>
      </c>
      <c r="H44" t="str">
        <f t="shared" si="0"/>
        <v>agree</v>
      </c>
      <c r="I44" t="str">
        <f t="shared" si="1"/>
        <v/>
      </c>
      <c r="J44">
        <f t="shared" si="2"/>
        <v>3</v>
      </c>
      <c r="K44">
        <f t="shared" si="3"/>
        <v>0</v>
      </c>
      <c r="L44" t="str">
        <f t="shared" si="4"/>
        <v>0 compromised</v>
      </c>
    </row>
    <row r="45" spans="1:12" x14ac:dyDescent="0.3">
      <c r="A45" s="4" t="s">
        <v>92</v>
      </c>
      <c r="B45" s="4" t="s">
        <v>79</v>
      </c>
      <c r="C45" s="4" t="s">
        <v>21</v>
      </c>
      <c r="D45" s="4" t="s">
        <v>31</v>
      </c>
      <c r="E45" t="str">
        <f>VLOOKUP("npm_"&amp;A45&amp;"_"&amp;B45&amp;"_"&amp;C45&amp;"_"&amp;D45,'results'!$A:$H,8,FALSE)</f>
        <v>resolution_error</v>
      </c>
      <c r="F45" t="str">
        <f>VLOOKUP("pip_"&amp;A45&amp;"_"&amp;B45&amp;"_"&amp;C45&amp;"_"&amp;D45,'results'!$A:$H,8,FALSE)</f>
        <v>resolution_error</v>
      </c>
      <c r="G45" t="str">
        <f>VLOOKUP("mvn_"&amp;A45&amp;"_"&amp;B45&amp;"_"&amp;C45&amp;"_"&amp;D45,'results'!$A:$H,8,FALSE)</f>
        <v>resolution_error</v>
      </c>
      <c r="H45" t="str">
        <f t="shared" si="0"/>
        <v>agree</v>
      </c>
      <c r="I45" t="str">
        <f t="shared" si="1"/>
        <v/>
      </c>
      <c r="J45">
        <f t="shared" si="2"/>
        <v>3</v>
      </c>
      <c r="K45">
        <f t="shared" si="3"/>
        <v>0</v>
      </c>
      <c r="L45" t="str">
        <f t="shared" si="4"/>
        <v>0 compromised</v>
      </c>
    </row>
    <row r="46" spans="1:12" x14ac:dyDescent="0.3">
      <c r="A46" s="5" t="s">
        <v>92</v>
      </c>
      <c r="B46" s="5" t="s">
        <v>79</v>
      </c>
      <c r="C46" s="5" t="s">
        <v>34</v>
      </c>
      <c r="D46" s="5" t="s">
        <v>22</v>
      </c>
      <c r="E46" t="str">
        <f>VLOOKUP("npm_"&amp;A46&amp;"_"&amp;B46&amp;"_"&amp;C46&amp;"_"&amp;D46,'results'!$A:$H,8,FALSE)</f>
        <v>malicious_resolved</v>
      </c>
      <c r="F46" t="str">
        <f>VLOOKUP("pip_"&amp;A46&amp;"_"&amp;B46&amp;"_"&amp;C46&amp;"_"&amp;D46,'results'!$A:$H,8,FALSE)</f>
        <v>malicious_resolved</v>
      </c>
      <c r="G46" t="str">
        <f>VLOOKUP("mvn_"&amp;A46&amp;"_"&amp;B46&amp;"_"&amp;C46&amp;"_"&amp;D46,'results'!$A:$H,8,FALSE)</f>
        <v>malicious_resolved</v>
      </c>
      <c r="H46" t="str">
        <f t="shared" si="0"/>
        <v>agree</v>
      </c>
      <c r="I46" t="str">
        <f t="shared" si="1"/>
        <v/>
      </c>
      <c r="J46">
        <f t="shared" si="2"/>
        <v>3</v>
      </c>
      <c r="K46">
        <f t="shared" si="3"/>
        <v>3</v>
      </c>
      <c r="L46" t="str">
        <f t="shared" si="4"/>
        <v>all compromised</v>
      </c>
    </row>
    <row r="47" spans="1:12" x14ac:dyDescent="0.3">
      <c r="A47" s="4" t="s">
        <v>92</v>
      </c>
      <c r="B47" s="4" t="s">
        <v>79</v>
      </c>
      <c r="C47" s="4" t="s">
        <v>34</v>
      </c>
      <c r="D47" s="4" t="s">
        <v>31</v>
      </c>
      <c r="E47" t="str">
        <f>VLOOKUP("npm_"&amp;A47&amp;"_"&amp;B47&amp;"_"&amp;C47&amp;"_"&amp;D47,'results'!$A:$H,8,FALSE)</f>
        <v>malicious_resolved</v>
      </c>
      <c r="F47" t="str">
        <f>VLOOKUP("pip_"&amp;A47&amp;"_"&amp;B47&amp;"_"&amp;C47&amp;"_"&amp;D47,'results'!$A:$H,8,FALSE)</f>
        <v>malicious_resolved</v>
      </c>
      <c r="G47" t="str">
        <f>VLOOKUP("mvn_"&amp;A47&amp;"_"&amp;B47&amp;"_"&amp;C47&amp;"_"&amp;D47,'results'!$A:$H,8,FALSE)</f>
        <v>malicious_resolved</v>
      </c>
      <c r="H47" t="str">
        <f t="shared" si="0"/>
        <v>agree</v>
      </c>
      <c r="I47" t="str">
        <f t="shared" si="1"/>
        <v/>
      </c>
      <c r="J47">
        <f t="shared" si="2"/>
        <v>3</v>
      </c>
      <c r="K47">
        <f t="shared" si="3"/>
        <v>3</v>
      </c>
      <c r="L47" t="str">
        <f t="shared" si="4"/>
        <v>all compromised</v>
      </c>
    </row>
    <row r="48" spans="1:12" x14ac:dyDescent="0.3">
      <c r="A48" s="5" t="s">
        <v>92</v>
      </c>
      <c r="B48" s="5" t="s">
        <v>79</v>
      </c>
      <c r="C48" s="5" t="s">
        <v>42</v>
      </c>
      <c r="D48" s="5" t="s">
        <v>22</v>
      </c>
      <c r="E48" t="str">
        <f>VLOOKUP("npm_"&amp;A48&amp;"_"&amp;B48&amp;"_"&amp;C48&amp;"_"&amp;D48,'results'!$A:$H,8,FALSE)</f>
        <v>malicious_resolved</v>
      </c>
      <c r="F48" t="str">
        <f>VLOOKUP("pip_"&amp;A48&amp;"_"&amp;B48&amp;"_"&amp;C48&amp;"_"&amp;D48,'results'!$A:$H,8,FALSE)</f>
        <v>malicious_resolved</v>
      </c>
      <c r="G48" t="str">
        <f>VLOOKUP("mvn_"&amp;A48&amp;"_"&amp;B48&amp;"_"&amp;C48&amp;"_"&amp;D48,'results'!$A:$H,8,FALSE)</f>
        <v>invalid_configuration</v>
      </c>
      <c r="H48" t="str">
        <f t="shared" si="0"/>
        <v>agree</v>
      </c>
      <c r="I48" t="str">
        <f t="shared" si="1"/>
        <v/>
      </c>
      <c r="J48">
        <f t="shared" si="2"/>
        <v>2</v>
      </c>
      <c r="K48">
        <f t="shared" si="3"/>
        <v>2</v>
      </c>
      <c r="L48" t="str">
        <f t="shared" si="4"/>
        <v>all compromised</v>
      </c>
    </row>
    <row r="49" spans="1:12" x14ac:dyDescent="0.3">
      <c r="A49" s="4" t="s">
        <v>92</v>
      </c>
      <c r="B49" s="4" t="s">
        <v>79</v>
      </c>
      <c r="C49" s="4" t="s">
        <v>42</v>
      </c>
      <c r="D49" s="4" t="s">
        <v>31</v>
      </c>
      <c r="E49" t="str">
        <f>VLOOKUP("npm_"&amp;A49&amp;"_"&amp;B49&amp;"_"&amp;C49&amp;"_"&amp;D49,'results'!$A:$H,8,FALSE)</f>
        <v>malicious_resolved</v>
      </c>
      <c r="F49" t="str">
        <f>VLOOKUP("pip_"&amp;A49&amp;"_"&amp;B49&amp;"_"&amp;C49&amp;"_"&amp;D49,'results'!$A:$H,8,FALSE)</f>
        <v>malicious_resolved</v>
      </c>
      <c r="G49" t="str">
        <f>VLOOKUP("mvn_"&amp;A49&amp;"_"&amp;B49&amp;"_"&amp;C49&amp;"_"&amp;D49,'results'!$A:$H,8,FALSE)</f>
        <v>invalid_configuration</v>
      </c>
      <c r="H49" t="str">
        <f t="shared" si="0"/>
        <v>agree</v>
      </c>
      <c r="I49" t="str">
        <f t="shared" si="1"/>
        <v/>
      </c>
      <c r="J49">
        <f t="shared" si="2"/>
        <v>2</v>
      </c>
      <c r="K49">
        <f t="shared" si="3"/>
        <v>2</v>
      </c>
      <c r="L49" t="str">
        <f t="shared" si="4"/>
        <v>all compromised</v>
      </c>
    </row>
    <row r="50" spans="1:12" x14ac:dyDescent="0.3">
      <c r="A50" s="5" t="s">
        <v>145</v>
      </c>
      <c r="B50" s="5" t="s">
        <v>20</v>
      </c>
      <c r="C50" s="5" t="s">
        <v>21</v>
      </c>
      <c r="D50" s="5" t="s">
        <v>22</v>
      </c>
      <c r="E50" t="str">
        <f>VLOOKUP("npm_"&amp;A50&amp;"_"&amp;B50&amp;"_"&amp;C50&amp;"_"&amp;D50,'results'!$A:$H,8,FALSE)</f>
        <v>resolution_error</v>
      </c>
      <c r="F50" t="str">
        <f>VLOOKUP("pip_"&amp;A50&amp;"_"&amp;B50&amp;"_"&amp;C50&amp;"_"&amp;D50,'results'!$A:$H,8,FALSE)</f>
        <v>resolution_error</v>
      </c>
      <c r="G50" t="str">
        <f>VLOOKUP("mvn_"&amp;A50&amp;"_"&amp;B50&amp;"_"&amp;C50&amp;"_"&amp;D50,'results'!$A:$H,8,FALSE)</f>
        <v>resolution_error</v>
      </c>
      <c r="H50" t="str">
        <f t="shared" si="0"/>
        <v>agree</v>
      </c>
      <c r="I50" t="str">
        <f t="shared" si="1"/>
        <v/>
      </c>
      <c r="J50">
        <f t="shared" si="2"/>
        <v>3</v>
      </c>
      <c r="K50">
        <f t="shared" si="3"/>
        <v>0</v>
      </c>
      <c r="L50" t="str">
        <f t="shared" si="4"/>
        <v>0 compromised</v>
      </c>
    </row>
    <row r="51" spans="1:12" x14ac:dyDescent="0.3">
      <c r="A51" s="4" t="s">
        <v>145</v>
      </c>
      <c r="B51" s="4" t="s">
        <v>20</v>
      </c>
      <c r="C51" s="4" t="s">
        <v>21</v>
      </c>
      <c r="D51" s="4" t="s">
        <v>31</v>
      </c>
      <c r="E51" t="str">
        <f>VLOOKUP("npm_"&amp;A51&amp;"_"&amp;B51&amp;"_"&amp;C51&amp;"_"&amp;D51,'results'!$A:$H,8,FALSE)</f>
        <v>resolution_error</v>
      </c>
      <c r="F51" t="str">
        <f>VLOOKUP("pip_"&amp;A51&amp;"_"&amp;B51&amp;"_"&amp;C51&amp;"_"&amp;D51,'results'!$A:$H,8,FALSE)</f>
        <v>resolution_error</v>
      </c>
      <c r="G51" t="str">
        <f>VLOOKUP("mvn_"&amp;A51&amp;"_"&amp;B51&amp;"_"&amp;C51&amp;"_"&amp;D51,'results'!$A:$H,8,FALSE)</f>
        <v>resolution_error</v>
      </c>
      <c r="H51" t="str">
        <f t="shared" si="0"/>
        <v>agree</v>
      </c>
      <c r="I51" t="str">
        <f t="shared" si="1"/>
        <v/>
      </c>
      <c r="J51">
        <f t="shared" si="2"/>
        <v>3</v>
      </c>
      <c r="K51">
        <f t="shared" si="3"/>
        <v>0</v>
      </c>
      <c r="L51" t="str">
        <f t="shared" si="4"/>
        <v>0 compromised</v>
      </c>
    </row>
    <row r="52" spans="1:12" x14ac:dyDescent="0.3">
      <c r="A52" s="5" t="s">
        <v>145</v>
      </c>
      <c r="B52" s="5" t="s">
        <v>20</v>
      </c>
      <c r="C52" s="5" t="s">
        <v>34</v>
      </c>
      <c r="D52" s="5" t="s">
        <v>22</v>
      </c>
      <c r="E52" t="str">
        <f>VLOOKUP("npm_"&amp;A52&amp;"_"&amp;B52&amp;"_"&amp;C52&amp;"_"&amp;D52,'results'!$A:$H,8,FALSE)</f>
        <v>resolution_error</v>
      </c>
      <c r="F52" t="str">
        <f>VLOOKUP("pip_"&amp;A52&amp;"_"&amp;B52&amp;"_"&amp;C52&amp;"_"&amp;D52,'results'!$A:$H,8,FALSE)</f>
        <v>resolution_error</v>
      </c>
      <c r="G52" t="str">
        <f>VLOOKUP("mvn_"&amp;A52&amp;"_"&amp;B52&amp;"_"&amp;C52&amp;"_"&amp;D52,'results'!$A:$H,8,FALSE)</f>
        <v>resolution_error</v>
      </c>
      <c r="H52" t="str">
        <f t="shared" si="0"/>
        <v>agree</v>
      </c>
      <c r="I52" t="str">
        <f t="shared" si="1"/>
        <v/>
      </c>
      <c r="J52">
        <f t="shared" si="2"/>
        <v>3</v>
      </c>
      <c r="K52">
        <f t="shared" si="3"/>
        <v>0</v>
      </c>
      <c r="L52" t="str">
        <f t="shared" si="4"/>
        <v>0 compromised</v>
      </c>
    </row>
    <row r="53" spans="1:12" x14ac:dyDescent="0.3">
      <c r="A53" s="4" t="s">
        <v>145</v>
      </c>
      <c r="B53" s="4" t="s">
        <v>20</v>
      </c>
      <c r="C53" s="4" t="s">
        <v>34</v>
      </c>
      <c r="D53" s="4" t="s">
        <v>31</v>
      </c>
      <c r="E53" t="str">
        <f>VLOOKUP("npm_"&amp;A53&amp;"_"&amp;B53&amp;"_"&amp;C53&amp;"_"&amp;D53,'results'!$A:$H,8,FALSE)</f>
        <v>resolution_error</v>
      </c>
      <c r="F53" t="str">
        <f>VLOOKUP("pip_"&amp;A53&amp;"_"&amp;B53&amp;"_"&amp;C53&amp;"_"&amp;D53,'results'!$A:$H,8,FALSE)</f>
        <v>resolution_error</v>
      </c>
      <c r="G53" t="str">
        <f>VLOOKUP("mvn_"&amp;A53&amp;"_"&amp;B53&amp;"_"&amp;C53&amp;"_"&amp;D53,'results'!$A:$H,8,FALSE)</f>
        <v>resolution_error</v>
      </c>
      <c r="H53" t="str">
        <f t="shared" si="0"/>
        <v>agree</v>
      </c>
      <c r="I53" t="str">
        <f t="shared" si="1"/>
        <v/>
      </c>
      <c r="J53">
        <f t="shared" si="2"/>
        <v>3</v>
      </c>
      <c r="K53">
        <f t="shared" si="3"/>
        <v>0</v>
      </c>
      <c r="L53" t="str">
        <f t="shared" si="4"/>
        <v>0 compromised</v>
      </c>
    </row>
    <row r="54" spans="1:12" x14ac:dyDescent="0.3">
      <c r="A54" s="5" t="s">
        <v>145</v>
      </c>
      <c r="B54" s="5" t="s">
        <v>20</v>
      </c>
      <c r="C54" s="5" t="s">
        <v>42</v>
      </c>
      <c r="D54" s="5" t="s">
        <v>22</v>
      </c>
      <c r="E54" t="str">
        <f>VLOOKUP("npm_"&amp;A54&amp;"_"&amp;B54&amp;"_"&amp;C54&amp;"_"&amp;D54,'results'!$A:$H,8,FALSE)</f>
        <v>resolution_error</v>
      </c>
      <c r="F54" t="str">
        <f>VLOOKUP("pip_"&amp;A54&amp;"_"&amp;B54&amp;"_"&amp;C54&amp;"_"&amp;D54,'results'!$A:$H,8,FALSE)</f>
        <v>resolution_error</v>
      </c>
      <c r="G54" t="str">
        <f>VLOOKUP("mvn_"&amp;A54&amp;"_"&amp;B54&amp;"_"&amp;C54&amp;"_"&amp;D54,'results'!$A:$H,8,FALSE)</f>
        <v>invalid_configuration</v>
      </c>
      <c r="H54" t="str">
        <f t="shared" si="0"/>
        <v>agree</v>
      </c>
      <c r="I54" t="str">
        <f t="shared" si="1"/>
        <v/>
      </c>
      <c r="J54">
        <f t="shared" si="2"/>
        <v>2</v>
      </c>
      <c r="K54">
        <f t="shared" si="3"/>
        <v>0</v>
      </c>
      <c r="L54" t="str">
        <f t="shared" si="4"/>
        <v>0 compromised</v>
      </c>
    </row>
    <row r="55" spans="1:12" x14ac:dyDescent="0.3">
      <c r="A55" s="4" t="s">
        <v>145</v>
      </c>
      <c r="B55" s="4" t="s">
        <v>20</v>
      </c>
      <c r="C55" s="4" t="s">
        <v>42</v>
      </c>
      <c r="D55" s="4" t="s">
        <v>31</v>
      </c>
      <c r="E55" t="str">
        <f>VLOOKUP("npm_"&amp;A55&amp;"_"&amp;B55&amp;"_"&amp;C55&amp;"_"&amp;D55,'results'!$A:$H,8,FALSE)</f>
        <v>resolution_error</v>
      </c>
      <c r="F55" t="str">
        <f>VLOOKUP("pip_"&amp;A55&amp;"_"&amp;B55&amp;"_"&amp;C55&amp;"_"&amp;D55,'results'!$A:$H,8,FALSE)</f>
        <v>resolution_error</v>
      </c>
      <c r="G55" t="str">
        <f>VLOOKUP("mvn_"&amp;A55&amp;"_"&amp;B55&amp;"_"&amp;C55&amp;"_"&amp;D55,'results'!$A:$H,8,FALSE)</f>
        <v>invalid_configuration</v>
      </c>
      <c r="H55" t="str">
        <f t="shared" si="0"/>
        <v>agree</v>
      </c>
      <c r="I55" t="str">
        <f t="shared" si="1"/>
        <v/>
      </c>
      <c r="J55">
        <f t="shared" si="2"/>
        <v>2</v>
      </c>
      <c r="K55">
        <f t="shared" si="3"/>
        <v>0</v>
      </c>
      <c r="L55" t="str">
        <f t="shared" si="4"/>
        <v>0 compromised</v>
      </c>
    </row>
    <row r="56" spans="1:12" x14ac:dyDescent="0.3">
      <c r="A56" s="5" t="s">
        <v>145</v>
      </c>
      <c r="B56" s="5" t="s">
        <v>47</v>
      </c>
      <c r="C56" s="5" t="s">
        <v>21</v>
      </c>
      <c r="D56" s="5" t="s">
        <v>22</v>
      </c>
      <c r="E56" t="str">
        <f>VLOOKUP("npm_"&amp;A56&amp;"_"&amp;B56&amp;"_"&amp;C56&amp;"_"&amp;D56,'results'!$A:$H,8,FALSE)</f>
        <v>resolution_error</v>
      </c>
      <c r="F56" t="str">
        <f>VLOOKUP("pip_"&amp;A56&amp;"_"&amp;B56&amp;"_"&amp;C56&amp;"_"&amp;D56,'results'!$A:$H,8,FALSE)</f>
        <v>private_resolved</v>
      </c>
      <c r="G56" t="str">
        <f>VLOOKUP("mvn_"&amp;A56&amp;"_"&amp;B56&amp;"_"&amp;C56&amp;"_"&amp;D56,'results'!$A:$H,8,FALSE)</f>
        <v>private_resolved</v>
      </c>
      <c r="H56" t="str">
        <f t="shared" si="0"/>
        <v>disagree</v>
      </c>
      <c r="I56" t="str">
        <f t="shared" si="1"/>
        <v>npm alone has different result</v>
      </c>
      <c r="J56">
        <f t="shared" si="2"/>
        <v>3</v>
      </c>
      <c r="K56">
        <f t="shared" si="3"/>
        <v>0</v>
      </c>
      <c r="L56" t="str">
        <f t="shared" si="4"/>
        <v>0 compromised</v>
      </c>
    </row>
    <row r="57" spans="1:12" x14ac:dyDescent="0.3">
      <c r="A57" s="4" t="s">
        <v>145</v>
      </c>
      <c r="B57" s="4" t="s">
        <v>47</v>
      </c>
      <c r="C57" s="4" t="s">
        <v>21</v>
      </c>
      <c r="D57" s="4" t="s">
        <v>31</v>
      </c>
      <c r="E57" t="str">
        <f>VLOOKUP("npm_"&amp;A57&amp;"_"&amp;B57&amp;"_"&amp;C57&amp;"_"&amp;D57,'results'!$A:$H,8,FALSE)</f>
        <v>resolution_error</v>
      </c>
      <c r="F57" t="str">
        <f>VLOOKUP("pip_"&amp;A57&amp;"_"&amp;B57&amp;"_"&amp;C57&amp;"_"&amp;D57,'results'!$A:$H,8,FALSE)</f>
        <v>private_resolved</v>
      </c>
      <c r="G57" t="str">
        <f>VLOOKUP("mvn_"&amp;A57&amp;"_"&amp;B57&amp;"_"&amp;C57&amp;"_"&amp;D57,'results'!$A:$H,8,FALSE)</f>
        <v>private_resolved</v>
      </c>
      <c r="H57" t="str">
        <f t="shared" si="0"/>
        <v>disagree</v>
      </c>
      <c r="I57" t="str">
        <f t="shared" si="1"/>
        <v>npm alone has different result</v>
      </c>
      <c r="J57">
        <f t="shared" si="2"/>
        <v>3</v>
      </c>
      <c r="K57">
        <f t="shared" si="3"/>
        <v>0</v>
      </c>
      <c r="L57" t="str">
        <f t="shared" si="4"/>
        <v>0 compromised</v>
      </c>
    </row>
    <row r="58" spans="1:12" x14ac:dyDescent="0.3">
      <c r="A58" s="5" t="s">
        <v>145</v>
      </c>
      <c r="B58" s="5" t="s">
        <v>47</v>
      </c>
      <c r="C58" s="5" t="s">
        <v>34</v>
      </c>
      <c r="D58" s="5" t="s">
        <v>22</v>
      </c>
      <c r="E58" t="str">
        <f>VLOOKUP("npm_"&amp;A58&amp;"_"&amp;B58&amp;"_"&amp;C58&amp;"_"&amp;D58,'results'!$A:$H,8,FALSE)</f>
        <v>malicious_resolved</v>
      </c>
      <c r="F58" t="str">
        <f>VLOOKUP("pip_"&amp;A58&amp;"_"&amp;B58&amp;"_"&amp;C58&amp;"_"&amp;D58,'results'!$A:$H,8,FALSE)</f>
        <v>malicious_resolved</v>
      </c>
      <c r="G58" t="str">
        <f>VLOOKUP("mvn_"&amp;A58&amp;"_"&amp;B58&amp;"_"&amp;C58&amp;"_"&amp;D58,'results'!$A:$H,8,FALSE)</f>
        <v>malicious_resolved</v>
      </c>
      <c r="H58" t="str">
        <f t="shared" si="0"/>
        <v>agree</v>
      </c>
      <c r="I58" t="str">
        <f t="shared" si="1"/>
        <v/>
      </c>
      <c r="J58">
        <f t="shared" si="2"/>
        <v>3</v>
      </c>
      <c r="K58">
        <f t="shared" si="3"/>
        <v>3</v>
      </c>
      <c r="L58" t="str">
        <f t="shared" si="4"/>
        <v>all compromised</v>
      </c>
    </row>
    <row r="59" spans="1:12" x14ac:dyDescent="0.3">
      <c r="A59" s="4" t="s">
        <v>145</v>
      </c>
      <c r="B59" s="4" t="s">
        <v>47</v>
      </c>
      <c r="C59" s="4" t="s">
        <v>34</v>
      </c>
      <c r="D59" s="4" t="s">
        <v>31</v>
      </c>
      <c r="E59" t="str">
        <f>VLOOKUP("npm_"&amp;A59&amp;"_"&amp;B59&amp;"_"&amp;C59&amp;"_"&amp;D59,'results'!$A:$H,8,FALSE)</f>
        <v>malicious_resolved</v>
      </c>
      <c r="F59" t="str">
        <f>VLOOKUP("pip_"&amp;A59&amp;"_"&amp;B59&amp;"_"&amp;C59&amp;"_"&amp;D59,'results'!$A:$H,8,FALSE)</f>
        <v>malicious_resolved</v>
      </c>
      <c r="G59" t="str">
        <f>VLOOKUP("mvn_"&amp;A59&amp;"_"&amp;B59&amp;"_"&amp;C59&amp;"_"&amp;D59,'results'!$A:$H,8,FALSE)</f>
        <v>malicious_resolved</v>
      </c>
      <c r="H59" t="str">
        <f t="shared" si="0"/>
        <v>agree</v>
      </c>
      <c r="I59" t="str">
        <f t="shared" si="1"/>
        <v/>
      </c>
      <c r="J59">
        <f t="shared" si="2"/>
        <v>3</v>
      </c>
      <c r="K59">
        <f t="shared" si="3"/>
        <v>3</v>
      </c>
      <c r="L59" t="str">
        <f t="shared" si="4"/>
        <v>all compromised</v>
      </c>
    </row>
    <row r="60" spans="1:12" x14ac:dyDescent="0.3">
      <c r="A60" s="5" t="s">
        <v>145</v>
      </c>
      <c r="B60" s="5" t="s">
        <v>47</v>
      </c>
      <c r="C60" s="5" t="s">
        <v>42</v>
      </c>
      <c r="D60" s="5" t="s">
        <v>22</v>
      </c>
      <c r="E60" t="str">
        <f>VLOOKUP("npm_"&amp;A60&amp;"_"&amp;B60&amp;"_"&amp;C60&amp;"_"&amp;D60,'results'!$A:$H,8,FALSE)</f>
        <v>malicious_resolved</v>
      </c>
      <c r="F60" t="str">
        <f>VLOOKUP("pip_"&amp;A60&amp;"_"&amp;B60&amp;"_"&amp;C60&amp;"_"&amp;D60,'results'!$A:$H,8,FALSE)</f>
        <v>malicious_resolved</v>
      </c>
      <c r="G60" t="str">
        <f>VLOOKUP("mvn_"&amp;A60&amp;"_"&amp;B60&amp;"_"&amp;C60&amp;"_"&amp;D60,'results'!$A:$H,8,FALSE)</f>
        <v>invalid_configuration</v>
      </c>
      <c r="H60" t="str">
        <f t="shared" si="0"/>
        <v>agree</v>
      </c>
      <c r="I60" t="str">
        <f t="shared" si="1"/>
        <v/>
      </c>
      <c r="J60">
        <f t="shared" si="2"/>
        <v>2</v>
      </c>
      <c r="K60">
        <f t="shared" si="3"/>
        <v>2</v>
      </c>
      <c r="L60" t="str">
        <f t="shared" si="4"/>
        <v>all compromised</v>
      </c>
    </row>
    <row r="61" spans="1:12" x14ac:dyDescent="0.3">
      <c r="A61" s="4" t="s">
        <v>145</v>
      </c>
      <c r="B61" s="4" t="s">
        <v>47</v>
      </c>
      <c r="C61" s="4" t="s">
        <v>42</v>
      </c>
      <c r="D61" s="4" t="s">
        <v>31</v>
      </c>
      <c r="E61" t="str">
        <f>VLOOKUP("npm_"&amp;A61&amp;"_"&amp;B61&amp;"_"&amp;C61&amp;"_"&amp;D61,'results'!$A:$H,8,FALSE)</f>
        <v>malicious_resolved</v>
      </c>
      <c r="F61" t="str">
        <f>VLOOKUP("pip_"&amp;A61&amp;"_"&amp;B61&amp;"_"&amp;C61&amp;"_"&amp;D61,'results'!$A:$H,8,FALSE)</f>
        <v>malicious_resolved</v>
      </c>
      <c r="G61" t="str">
        <f>VLOOKUP("mvn_"&amp;A61&amp;"_"&amp;B61&amp;"_"&amp;C61&amp;"_"&amp;D61,'results'!$A:$H,8,FALSE)</f>
        <v>invalid_configuration</v>
      </c>
      <c r="H61" t="str">
        <f t="shared" si="0"/>
        <v>agree</v>
      </c>
      <c r="I61" t="str">
        <f t="shared" si="1"/>
        <v/>
      </c>
      <c r="J61">
        <f t="shared" si="2"/>
        <v>2</v>
      </c>
      <c r="K61">
        <f t="shared" si="3"/>
        <v>2</v>
      </c>
      <c r="L61" t="str">
        <f t="shared" si="4"/>
        <v>all compromised</v>
      </c>
    </row>
    <row r="62" spans="1:12" x14ac:dyDescent="0.3">
      <c r="A62" s="5" t="s">
        <v>145</v>
      </c>
      <c r="B62" s="5" t="s">
        <v>64</v>
      </c>
      <c r="C62" s="5" t="s">
        <v>21</v>
      </c>
      <c r="D62" s="5" t="s">
        <v>22</v>
      </c>
      <c r="E62" t="str">
        <f>VLOOKUP("npm_"&amp;A62&amp;"_"&amp;B62&amp;"_"&amp;C62&amp;"_"&amp;D62,'results'!$A:$H,8,FALSE)</f>
        <v>resolution_error</v>
      </c>
      <c r="F62" t="str">
        <f>VLOOKUP("pip_"&amp;A62&amp;"_"&amp;B62&amp;"_"&amp;C62&amp;"_"&amp;D62,'results'!$A:$H,8,FALSE)</f>
        <v>private_resolved</v>
      </c>
      <c r="G62" t="str">
        <f>VLOOKUP("mvn_"&amp;A62&amp;"_"&amp;B62&amp;"_"&amp;C62&amp;"_"&amp;D62,'results'!$A:$H,8,FALSE)</f>
        <v>private_resolved</v>
      </c>
      <c r="H62" t="str">
        <f t="shared" si="0"/>
        <v>disagree</v>
      </c>
      <c r="I62" t="str">
        <f t="shared" si="1"/>
        <v>npm alone has different result</v>
      </c>
      <c r="J62">
        <f t="shared" si="2"/>
        <v>3</v>
      </c>
      <c r="K62">
        <f t="shared" si="3"/>
        <v>0</v>
      </c>
      <c r="L62" t="str">
        <f t="shared" si="4"/>
        <v>0 compromised</v>
      </c>
    </row>
    <row r="63" spans="1:12" x14ac:dyDescent="0.3">
      <c r="A63" s="4" t="s">
        <v>145</v>
      </c>
      <c r="B63" s="4" t="s">
        <v>64</v>
      </c>
      <c r="C63" s="4" t="s">
        <v>21</v>
      </c>
      <c r="D63" s="4" t="s">
        <v>31</v>
      </c>
      <c r="E63" t="str">
        <f>VLOOKUP("npm_"&amp;A63&amp;"_"&amp;B63&amp;"_"&amp;C63&amp;"_"&amp;D63,'results'!$A:$H,8,FALSE)</f>
        <v>resolution_error</v>
      </c>
      <c r="F63" t="str">
        <f>VLOOKUP("pip_"&amp;A63&amp;"_"&amp;B63&amp;"_"&amp;C63&amp;"_"&amp;D63,'results'!$A:$H,8,FALSE)</f>
        <v>private_resolved</v>
      </c>
      <c r="G63" t="str">
        <f>VLOOKUP("mvn_"&amp;A63&amp;"_"&amp;B63&amp;"_"&amp;C63&amp;"_"&amp;D63,'results'!$A:$H,8,FALSE)</f>
        <v>private_resolved</v>
      </c>
      <c r="H63" t="str">
        <f t="shared" si="0"/>
        <v>disagree</v>
      </c>
      <c r="I63" t="str">
        <f t="shared" si="1"/>
        <v>npm alone has different result</v>
      </c>
      <c r="J63">
        <f t="shared" si="2"/>
        <v>3</v>
      </c>
      <c r="K63">
        <f t="shared" si="3"/>
        <v>0</v>
      </c>
      <c r="L63" t="str">
        <f t="shared" si="4"/>
        <v>0 compromised</v>
      </c>
    </row>
    <row r="64" spans="1:12" x14ac:dyDescent="0.3">
      <c r="A64" s="5" t="s">
        <v>145</v>
      </c>
      <c r="B64" s="5" t="s">
        <v>64</v>
      </c>
      <c r="C64" s="5" t="s">
        <v>34</v>
      </c>
      <c r="D64" s="5" t="s">
        <v>22</v>
      </c>
      <c r="E64" t="str">
        <f>VLOOKUP("npm_"&amp;A64&amp;"_"&amp;B64&amp;"_"&amp;C64&amp;"_"&amp;D64,'results'!$A:$H,8,FALSE)</f>
        <v>malicious_resolved</v>
      </c>
      <c r="F64" t="str">
        <f>VLOOKUP("pip_"&amp;A64&amp;"_"&amp;B64&amp;"_"&amp;C64&amp;"_"&amp;D64,'results'!$A:$H,8,FALSE)</f>
        <v>malicious_resolved</v>
      </c>
      <c r="G64" t="str">
        <f>VLOOKUP("mvn_"&amp;A64&amp;"_"&amp;B64&amp;"_"&amp;C64&amp;"_"&amp;D64,'results'!$A:$H,8,FALSE)</f>
        <v>malicious_resolved</v>
      </c>
      <c r="H64" t="str">
        <f t="shared" si="0"/>
        <v>agree</v>
      </c>
      <c r="I64" t="str">
        <f t="shared" si="1"/>
        <v/>
      </c>
      <c r="J64">
        <f t="shared" si="2"/>
        <v>3</v>
      </c>
      <c r="K64">
        <f t="shared" si="3"/>
        <v>3</v>
      </c>
      <c r="L64" t="str">
        <f t="shared" si="4"/>
        <v>all compromised</v>
      </c>
    </row>
    <row r="65" spans="1:12" x14ac:dyDescent="0.3">
      <c r="A65" s="4" t="s">
        <v>145</v>
      </c>
      <c r="B65" s="4" t="s">
        <v>64</v>
      </c>
      <c r="C65" s="4" t="s">
        <v>34</v>
      </c>
      <c r="D65" s="4" t="s">
        <v>31</v>
      </c>
      <c r="E65" t="str">
        <f>VLOOKUP("npm_"&amp;A65&amp;"_"&amp;B65&amp;"_"&amp;C65&amp;"_"&amp;D65,'results'!$A:$H,8,FALSE)</f>
        <v>malicious_resolved</v>
      </c>
      <c r="F65" t="str">
        <f>VLOOKUP("pip_"&amp;A65&amp;"_"&amp;B65&amp;"_"&amp;C65&amp;"_"&amp;D65,'results'!$A:$H,8,FALSE)</f>
        <v>malicious_resolved</v>
      </c>
      <c r="G65" t="str">
        <f>VLOOKUP("mvn_"&amp;A65&amp;"_"&amp;B65&amp;"_"&amp;C65&amp;"_"&amp;D65,'results'!$A:$H,8,FALSE)</f>
        <v>malicious_resolved</v>
      </c>
      <c r="H65" t="str">
        <f t="shared" si="0"/>
        <v>agree</v>
      </c>
      <c r="I65" t="str">
        <f t="shared" si="1"/>
        <v/>
      </c>
      <c r="J65">
        <f t="shared" si="2"/>
        <v>3</v>
      </c>
      <c r="K65">
        <f t="shared" si="3"/>
        <v>3</v>
      </c>
      <c r="L65" t="str">
        <f t="shared" si="4"/>
        <v>all compromised</v>
      </c>
    </row>
    <row r="66" spans="1:12" x14ac:dyDescent="0.3">
      <c r="A66" s="5" t="s">
        <v>145</v>
      </c>
      <c r="B66" s="5" t="s">
        <v>64</v>
      </c>
      <c r="C66" s="5" t="s">
        <v>42</v>
      </c>
      <c r="D66" s="5" t="s">
        <v>22</v>
      </c>
      <c r="E66" t="str">
        <f>VLOOKUP("npm_"&amp;A66&amp;"_"&amp;B66&amp;"_"&amp;C66&amp;"_"&amp;D66,'results'!$A:$H,8,FALSE)</f>
        <v>malicious_resolved</v>
      </c>
      <c r="F66" t="str">
        <f>VLOOKUP("pip_"&amp;A66&amp;"_"&amp;B66&amp;"_"&amp;C66&amp;"_"&amp;D66,'results'!$A:$H,8,FALSE)</f>
        <v>malicious_resolved</v>
      </c>
      <c r="G66" t="str">
        <f>VLOOKUP("mvn_"&amp;A66&amp;"_"&amp;B66&amp;"_"&amp;C66&amp;"_"&amp;D66,'results'!$A:$H,8,FALSE)</f>
        <v>invalid_configuration</v>
      </c>
      <c r="H66" t="str">
        <f t="shared" si="0"/>
        <v>agree</v>
      </c>
      <c r="I66" t="str">
        <f t="shared" si="1"/>
        <v/>
      </c>
      <c r="J66">
        <f t="shared" si="2"/>
        <v>2</v>
      </c>
      <c r="K66">
        <f t="shared" si="3"/>
        <v>2</v>
      </c>
      <c r="L66" t="str">
        <f t="shared" si="4"/>
        <v>all compromised</v>
      </c>
    </row>
    <row r="67" spans="1:12" x14ac:dyDescent="0.3">
      <c r="A67" s="4" t="s">
        <v>145</v>
      </c>
      <c r="B67" s="4" t="s">
        <v>64</v>
      </c>
      <c r="C67" s="4" t="s">
        <v>42</v>
      </c>
      <c r="D67" s="4" t="s">
        <v>31</v>
      </c>
      <c r="E67" t="str">
        <f>VLOOKUP("npm_"&amp;A67&amp;"_"&amp;B67&amp;"_"&amp;C67&amp;"_"&amp;D67,'results'!$A:$H,8,FALSE)</f>
        <v>malicious_resolved</v>
      </c>
      <c r="F67" t="str">
        <f>VLOOKUP("pip_"&amp;A67&amp;"_"&amp;B67&amp;"_"&amp;C67&amp;"_"&amp;D67,'results'!$A:$H,8,FALSE)</f>
        <v>malicious_resolved</v>
      </c>
      <c r="G67" t="str">
        <f>VLOOKUP("mvn_"&amp;A67&amp;"_"&amp;B67&amp;"_"&amp;C67&amp;"_"&amp;D67,'results'!$A:$H,8,FALSE)</f>
        <v>invalid_configuration</v>
      </c>
      <c r="H67" t="str">
        <f t="shared" ref="H67:H130" si="5">IF(COUNTIF(E67:G67,"&lt;&gt;invalid_configuration")&lt;2,"not comparable",IF(MAX(COUNTIF(E67:G67,"malicious_resolved"),COUNTIF(E67:G67,"private_resolved"),COUNTIF(E67:G67,"resolution_error"))=COUNTIF(E67:G67,"&lt;&gt;invalid_configuration"),"agree","disagree"))</f>
        <v>agree</v>
      </c>
      <c r="I67" t="str">
        <f t="shared" ref="I67:I130" si="6">IF(H67="disagree",IF(AND(E67&lt;&gt;F67,E67&lt;&gt;G67),"npm alone has different result",IF(AND(F67&lt;&gt;E67,F67&lt;&gt;G67),"pip alone has different result",IF(AND(G67&lt;&gt;E67,G67&lt;&gt;F67),"maven alone has different result","mixed"))),"")</f>
        <v/>
      </c>
      <c r="J67">
        <f t="shared" ref="J67:J130" si="7">COUNTIF(E67:G67,"&lt;&gt;invalid_configuration")</f>
        <v>2</v>
      </c>
      <c r="K67">
        <f t="shared" ref="K67:K130" si="8">COUNTIF(E67:G67,"malicious_resolved")</f>
        <v>2</v>
      </c>
      <c r="L67" t="str">
        <f t="shared" ref="L67:L130" si="9">IF(J67=0,"all invalid cells",IF(K67=0,"0 compromised",IF(K67=J67,"all compromised","partly compromised")))</f>
        <v>all compromised</v>
      </c>
    </row>
    <row r="68" spans="1:12" x14ac:dyDescent="0.3">
      <c r="A68" s="5" t="s">
        <v>145</v>
      </c>
      <c r="B68" s="5" t="s">
        <v>79</v>
      </c>
      <c r="C68" s="5" t="s">
        <v>21</v>
      </c>
      <c r="D68" s="5" t="s">
        <v>22</v>
      </c>
      <c r="E68" t="str">
        <f>VLOOKUP("npm_"&amp;A68&amp;"_"&amp;B68&amp;"_"&amp;C68&amp;"_"&amp;D68,'results'!$A:$H,8,FALSE)</f>
        <v>resolution_error</v>
      </c>
      <c r="F68" t="str">
        <f>VLOOKUP("pip_"&amp;A68&amp;"_"&amp;B68&amp;"_"&amp;C68&amp;"_"&amp;D68,'results'!$A:$H,8,FALSE)</f>
        <v>resolution_error</v>
      </c>
      <c r="G68" t="str">
        <f>VLOOKUP("mvn_"&amp;A68&amp;"_"&amp;B68&amp;"_"&amp;C68&amp;"_"&amp;D68,'results'!$A:$H,8,FALSE)</f>
        <v>resolution_error</v>
      </c>
      <c r="H68" t="str">
        <f t="shared" si="5"/>
        <v>agree</v>
      </c>
      <c r="I68" t="str">
        <f t="shared" si="6"/>
        <v/>
      </c>
      <c r="J68">
        <f t="shared" si="7"/>
        <v>3</v>
      </c>
      <c r="K68">
        <f t="shared" si="8"/>
        <v>0</v>
      </c>
      <c r="L68" t="str">
        <f t="shared" si="9"/>
        <v>0 compromised</v>
      </c>
    </row>
    <row r="69" spans="1:12" x14ac:dyDescent="0.3">
      <c r="A69" s="4" t="s">
        <v>145</v>
      </c>
      <c r="B69" s="4" t="s">
        <v>79</v>
      </c>
      <c r="C69" s="4" t="s">
        <v>21</v>
      </c>
      <c r="D69" s="4" t="s">
        <v>31</v>
      </c>
      <c r="E69" t="str">
        <f>VLOOKUP("npm_"&amp;A69&amp;"_"&amp;B69&amp;"_"&amp;C69&amp;"_"&amp;D69,'results'!$A:$H,8,FALSE)</f>
        <v>resolution_error</v>
      </c>
      <c r="F69" t="str">
        <f>VLOOKUP("pip_"&amp;A69&amp;"_"&amp;B69&amp;"_"&amp;C69&amp;"_"&amp;D69,'results'!$A:$H,8,FALSE)</f>
        <v>resolution_error</v>
      </c>
      <c r="G69" t="str">
        <f>VLOOKUP("mvn_"&amp;A69&amp;"_"&amp;B69&amp;"_"&amp;C69&amp;"_"&amp;D69,'results'!$A:$H,8,FALSE)</f>
        <v>resolution_error</v>
      </c>
      <c r="H69" t="str">
        <f t="shared" si="5"/>
        <v>agree</v>
      </c>
      <c r="I69" t="str">
        <f t="shared" si="6"/>
        <v/>
      </c>
      <c r="J69">
        <f t="shared" si="7"/>
        <v>3</v>
      </c>
      <c r="K69">
        <f t="shared" si="8"/>
        <v>0</v>
      </c>
      <c r="L69" t="str">
        <f t="shared" si="9"/>
        <v>0 compromised</v>
      </c>
    </row>
    <row r="70" spans="1:12" x14ac:dyDescent="0.3">
      <c r="A70" s="5" t="s">
        <v>145</v>
      </c>
      <c r="B70" s="5" t="s">
        <v>79</v>
      </c>
      <c r="C70" s="5" t="s">
        <v>34</v>
      </c>
      <c r="D70" s="5" t="s">
        <v>22</v>
      </c>
      <c r="E70" t="str">
        <f>VLOOKUP("npm_"&amp;A70&amp;"_"&amp;B70&amp;"_"&amp;C70&amp;"_"&amp;D70,'results'!$A:$H,8,FALSE)</f>
        <v>malicious_resolved</v>
      </c>
      <c r="F70" t="str">
        <f>VLOOKUP("pip_"&amp;A70&amp;"_"&amp;B70&amp;"_"&amp;C70&amp;"_"&amp;D70,'results'!$A:$H,8,FALSE)</f>
        <v>malicious_resolved</v>
      </c>
      <c r="G70" t="str">
        <f>VLOOKUP("mvn_"&amp;A70&amp;"_"&amp;B70&amp;"_"&amp;C70&amp;"_"&amp;D70,'results'!$A:$H,8,FALSE)</f>
        <v>malicious_resolved</v>
      </c>
      <c r="H70" t="str">
        <f t="shared" si="5"/>
        <v>agree</v>
      </c>
      <c r="I70" t="str">
        <f t="shared" si="6"/>
        <v/>
      </c>
      <c r="J70">
        <f t="shared" si="7"/>
        <v>3</v>
      </c>
      <c r="K70">
        <f t="shared" si="8"/>
        <v>3</v>
      </c>
      <c r="L70" t="str">
        <f t="shared" si="9"/>
        <v>all compromised</v>
      </c>
    </row>
    <row r="71" spans="1:12" x14ac:dyDescent="0.3">
      <c r="A71" s="4" t="s">
        <v>145</v>
      </c>
      <c r="B71" s="4" t="s">
        <v>79</v>
      </c>
      <c r="C71" s="4" t="s">
        <v>34</v>
      </c>
      <c r="D71" s="4" t="s">
        <v>31</v>
      </c>
      <c r="E71" t="str">
        <f>VLOOKUP("npm_"&amp;A71&amp;"_"&amp;B71&amp;"_"&amp;C71&amp;"_"&amp;D71,'results'!$A:$H,8,FALSE)</f>
        <v>malicious_resolved</v>
      </c>
      <c r="F71" t="str">
        <f>VLOOKUP("pip_"&amp;A71&amp;"_"&amp;B71&amp;"_"&amp;C71&amp;"_"&amp;D71,'results'!$A:$H,8,FALSE)</f>
        <v>malicious_resolved</v>
      </c>
      <c r="G71" t="str">
        <f>VLOOKUP("mvn_"&amp;A71&amp;"_"&amp;B71&amp;"_"&amp;C71&amp;"_"&amp;D71,'results'!$A:$H,8,FALSE)</f>
        <v>malicious_resolved</v>
      </c>
      <c r="H71" t="str">
        <f t="shared" si="5"/>
        <v>agree</v>
      </c>
      <c r="I71" t="str">
        <f t="shared" si="6"/>
        <v/>
      </c>
      <c r="J71">
        <f t="shared" si="7"/>
        <v>3</v>
      </c>
      <c r="K71">
        <f t="shared" si="8"/>
        <v>3</v>
      </c>
      <c r="L71" t="str">
        <f t="shared" si="9"/>
        <v>all compromised</v>
      </c>
    </row>
    <row r="72" spans="1:12" x14ac:dyDescent="0.3">
      <c r="A72" s="5" t="s">
        <v>145</v>
      </c>
      <c r="B72" s="5" t="s">
        <v>79</v>
      </c>
      <c r="C72" s="5" t="s">
        <v>42</v>
      </c>
      <c r="D72" s="5" t="s">
        <v>22</v>
      </c>
      <c r="E72" t="str">
        <f>VLOOKUP("npm_"&amp;A72&amp;"_"&amp;B72&amp;"_"&amp;C72&amp;"_"&amp;D72,'results'!$A:$H,8,FALSE)</f>
        <v>malicious_resolved</v>
      </c>
      <c r="F72" t="str">
        <f>VLOOKUP("pip_"&amp;A72&amp;"_"&amp;B72&amp;"_"&amp;C72&amp;"_"&amp;D72,'results'!$A:$H,8,FALSE)</f>
        <v>malicious_resolved</v>
      </c>
      <c r="G72" t="str">
        <f>VLOOKUP("mvn_"&amp;A72&amp;"_"&amp;B72&amp;"_"&amp;C72&amp;"_"&amp;D72,'results'!$A:$H,8,FALSE)</f>
        <v>invalid_configuration</v>
      </c>
      <c r="H72" t="str">
        <f t="shared" si="5"/>
        <v>agree</v>
      </c>
      <c r="I72" t="str">
        <f t="shared" si="6"/>
        <v/>
      </c>
      <c r="J72">
        <f t="shared" si="7"/>
        <v>2</v>
      </c>
      <c r="K72">
        <f t="shared" si="8"/>
        <v>2</v>
      </c>
      <c r="L72" t="str">
        <f t="shared" si="9"/>
        <v>all compromised</v>
      </c>
    </row>
    <row r="73" spans="1:12" x14ac:dyDescent="0.3">
      <c r="A73" s="4" t="s">
        <v>145</v>
      </c>
      <c r="B73" s="4" t="s">
        <v>79</v>
      </c>
      <c r="C73" s="4" t="s">
        <v>42</v>
      </c>
      <c r="D73" s="4" t="s">
        <v>31</v>
      </c>
      <c r="E73" t="str">
        <f>VLOOKUP("npm_"&amp;A73&amp;"_"&amp;B73&amp;"_"&amp;C73&amp;"_"&amp;D73,'results'!$A:$H,8,FALSE)</f>
        <v>malicious_resolved</v>
      </c>
      <c r="F73" t="str">
        <f>VLOOKUP("pip_"&amp;A73&amp;"_"&amp;B73&amp;"_"&amp;C73&amp;"_"&amp;D73,'results'!$A:$H,8,FALSE)</f>
        <v>malicious_resolved</v>
      </c>
      <c r="G73" t="str">
        <f>VLOOKUP("mvn_"&amp;A73&amp;"_"&amp;B73&amp;"_"&amp;C73&amp;"_"&amp;D73,'results'!$A:$H,8,FALSE)</f>
        <v>invalid_configuration</v>
      </c>
      <c r="H73" t="str">
        <f t="shared" si="5"/>
        <v>agree</v>
      </c>
      <c r="I73" t="str">
        <f t="shared" si="6"/>
        <v/>
      </c>
      <c r="J73">
        <f t="shared" si="7"/>
        <v>2</v>
      </c>
      <c r="K73">
        <f t="shared" si="8"/>
        <v>2</v>
      </c>
      <c r="L73" t="str">
        <f t="shared" si="9"/>
        <v>all compromised</v>
      </c>
    </row>
    <row r="74" spans="1:12" x14ac:dyDescent="0.3">
      <c r="A74" s="5" t="s">
        <v>194</v>
      </c>
      <c r="B74" s="5" t="s">
        <v>20</v>
      </c>
      <c r="C74" s="5" t="s">
        <v>21</v>
      </c>
      <c r="D74" s="5" t="s">
        <v>22</v>
      </c>
      <c r="E74" t="str">
        <f>VLOOKUP("npm_"&amp;A74&amp;"_"&amp;B74&amp;"_"&amp;C74&amp;"_"&amp;D74,'results'!$A:$H,8,FALSE)</f>
        <v>resolution_error</v>
      </c>
      <c r="F74" t="str">
        <f>VLOOKUP("pip_"&amp;A74&amp;"_"&amp;B74&amp;"_"&amp;C74&amp;"_"&amp;D74,'results'!$A:$H,8,FALSE)</f>
        <v>resolution_error</v>
      </c>
      <c r="G74" t="str">
        <f>VLOOKUP("mvn_"&amp;A74&amp;"_"&amp;B74&amp;"_"&amp;C74&amp;"_"&amp;D74,'results'!$A:$H,8,FALSE)</f>
        <v>private_resolved</v>
      </c>
      <c r="H74" t="str">
        <f t="shared" si="5"/>
        <v>disagree</v>
      </c>
      <c r="I74" t="str">
        <f t="shared" si="6"/>
        <v>maven alone has different result</v>
      </c>
      <c r="J74">
        <f t="shared" si="7"/>
        <v>3</v>
      </c>
      <c r="K74">
        <f t="shared" si="8"/>
        <v>0</v>
      </c>
      <c r="L74" t="str">
        <f t="shared" si="9"/>
        <v>0 compromised</v>
      </c>
    </row>
    <row r="75" spans="1:12" x14ac:dyDescent="0.3">
      <c r="A75" s="4" t="s">
        <v>194</v>
      </c>
      <c r="B75" s="4" t="s">
        <v>20</v>
      </c>
      <c r="C75" s="4" t="s">
        <v>21</v>
      </c>
      <c r="D75" s="4" t="s">
        <v>31</v>
      </c>
      <c r="E75" t="str">
        <f>VLOOKUP("npm_"&amp;A75&amp;"_"&amp;B75&amp;"_"&amp;C75&amp;"_"&amp;D75,'results'!$A:$H,8,FALSE)</f>
        <v>resolution_error</v>
      </c>
      <c r="F75" t="str">
        <f>VLOOKUP("pip_"&amp;A75&amp;"_"&amp;B75&amp;"_"&amp;C75&amp;"_"&amp;D75,'results'!$A:$H,8,FALSE)</f>
        <v>resolution_error</v>
      </c>
      <c r="G75" t="str">
        <f>VLOOKUP("mvn_"&amp;A75&amp;"_"&amp;B75&amp;"_"&amp;C75&amp;"_"&amp;D75,'results'!$A:$H,8,FALSE)</f>
        <v>private_resolved</v>
      </c>
      <c r="H75" t="str">
        <f t="shared" si="5"/>
        <v>disagree</v>
      </c>
      <c r="I75" t="str">
        <f t="shared" si="6"/>
        <v>maven alone has different result</v>
      </c>
      <c r="J75">
        <f t="shared" si="7"/>
        <v>3</v>
      </c>
      <c r="K75">
        <f t="shared" si="8"/>
        <v>0</v>
      </c>
      <c r="L75" t="str">
        <f t="shared" si="9"/>
        <v>0 compromised</v>
      </c>
    </row>
    <row r="76" spans="1:12" x14ac:dyDescent="0.3">
      <c r="A76" s="5" t="s">
        <v>194</v>
      </c>
      <c r="B76" s="5" t="s">
        <v>20</v>
      </c>
      <c r="C76" s="5" t="s">
        <v>34</v>
      </c>
      <c r="D76" s="5" t="s">
        <v>22</v>
      </c>
      <c r="E76" t="str">
        <f>VLOOKUP("npm_"&amp;A76&amp;"_"&amp;B76&amp;"_"&amp;C76&amp;"_"&amp;D76,'results'!$A:$H,8,FALSE)</f>
        <v>resolution_error</v>
      </c>
      <c r="F76" t="str">
        <f>VLOOKUP("pip_"&amp;A76&amp;"_"&amp;B76&amp;"_"&amp;C76&amp;"_"&amp;D76,'results'!$A:$H,8,FALSE)</f>
        <v>resolution_error</v>
      </c>
      <c r="G76" t="str">
        <f>VLOOKUP("mvn_"&amp;A76&amp;"_"&amp;B76&amp;"_"&amp;C76&amp;"_"&amp;D76,'results'!$A:$H,8,FALSE)</f>
        <v>malicious_resolved</v>
      </c>
      <c r="H76" t="str">
        <f t="shared" si="5"/>
        <v>disagree</v>
      </c>
      <c r="I76" t="str">
        <f t="shared" si="6"/>
        <v>maven alone has different result</v>
      </c>
      <c r="J76">
        <f t="shared" si="7"/>
        <v>3</v>
      </c>
      <c r="K76">
        <f t="shared" si="8"/>
        <v>1</v>
      </c>
      <c r="L76" t="str">
        <f t="shared" si="9"/>
        <v>partly compromised</v>
      </c>
    </row>
    <row r="77" spans="1:12" x14ac:dyDescent="0.3">
      <c r="A77" s="4" t="s">
        <v>194</v>
      </c>
      <c r="B77" s="4" t="s">
        <v>20</v>
      </c>
      <c r="C77" s="4" t="s">
        <v>34</v>
      </c>
      <c r="D77" s="4" t="s">
        <v>31</v>
      </c>
      <c r="E77" t="str">
        <f>VLOOKUP("npm_"&amp;A77&amp;"_"&amp;B77&amp;"_"&amp;C77&amp;"_"&amp;D77,'results'!$A:$H,8,FALSE)</f>
        <v>resolution_error</v>
      </c>
      <c r="F77" t="str">
        <f>VLOOKUP("pip_"&amp;A77&amp;"_"&amp;B77&amp;"_"&amp;C77&amp;"_"&amp;D77,'results'!$A:$H,8,FALSE)</f>
        <v>resolution_error</v>
      </c>
      <c r="G77" t="str">
        <f>VLOOKUP("mvn_"&amp;A77&amp;"_"&amp;B77&amp;"_"&amp;C77&amp;"_"&amp;D77,'results'!$A:$H,8,FALSE)</f>
        <v>malicious_resolved</v>
      </c>
      <c r="H77" t="str">
        <f t="shared" si="5"/>
        <v>disagree</v>
      </c>
      <c r="I77" t="str">
        <f t="shared" si="6"/>
        <v>maven alone has different result</v>
      </c>
      <c r="J77">
        <f t="shared" si="7"/>
        <v>3</v>
      </c>
      <c r="K77">
        <f t="shared" si="8"/>
        <v>1</v>
      </c>
      <c r="L77" t="str">
        <f t="shared" si="9"/>
        <v>partly compromised</v>
      </c>
    </row>
    <row r="78" spans="1:12" x14ac:dyDescent="0.3">
      <c r="A78" s="5" t="s">
        <v>194</v>
      </c>
      <c r="B78" s="5" t="s">
        <v>20</v>
      </c>
      <c r="C78" s="5" t="s">
        <v>42</v>
      </c>
      <c r="D78" s="5" t="s">
        <v>22</v>
      </c>
      <c r="E78" t="str">
        <f>VLOOKUP("npm_"&amp;A78&amp;"_"&amp;B78&amp;"_"&amp;C78&amp;"_"&amp;D78,'results'!$A:$H,8,FALSE)</f>
        <v>resolution_error</v>
      </c>
      <c r="F78" t="str">
        <f>VLOOKUP("pip_"&amp;A78&amp;"_"&amp;B78&amp;"_"&amp;C78&amp;"_"&amp;D78,'results'!$A:$H,8,FALSE)</f>
        <v>resolution_error</v>
      </c>
      <c r="G78" t="str">
        <f>VLOOKUP("mvn_"&amp;A78&amp;"_"&amp;B78&amp;"_"&amp;C78&amp;"_"&amp;D78,'results'!$A:$H,8,FALSE)</f>
        <v>invalid_configuration</v>
      </c>
      <c r="H78" t="str">
        <f t="shared" si="5"/>
        <v>agree</v>
      </c>
      <c r="I78" t="str">
        <f t="shared" si="6"/>
        <v/>
      </c>
      <c r="J78">
        <f t="shared" si="7"/>
        <v>2</v>
      </c>
      <c r="K78">
        <f t="shared" si="8"/>
        <v>0</v>
      </c>
      <c r="L78" t="str">
        <f t="shared" si="9"/>
        <v>0 compromised</v>
      </c>
    </row>
    <row r="79" spans="1:12" x14ac:dyDescent="0.3">
      <c r="A79" s="4" t="s">
        <v>194</v>
      </c>
      <c r="B79" s="4" t="s">
        <v>20</v>
      </c>
      <c r="C79" s="4" t="s">
        <v>42</v>
      </c>
      <c r="D79" s="4" t="s">
        <v>31</v>
      </c>
      <c r="E79" t="str">
        <f>VLOOKUP("npm_"&amp;A79&amp;"_"&amp;B79&amp;"_"&amp;C79&amp;"_"&amp;D79,'results'!$A:$H,8,FALSE)</f>
        <v>resolution_error</v>
      </c>
      <c r="F79" t="str">
        <f>VLOOKUP("pip_"&amp;A79&amp;"_"&amp;B79&amp;"_"&amp;C79&amp;"_"&amp;D79,'results'!$A:$H,8,FALSE)</f>
        <v>resolution_error</v>
      </c>
      <c r="G79" t="str">
        <f>VLOOKUP("mvn_"&amp;A79&amp;"_"&amp;B79&amp;"_"&amp;C79&amp;"_"&amp;D79,'results'!$A:$H,8,FALSE)</f>
        <v>invalid_configuration</v>
      </c>
      <c r="H79" t="str">
        <f t="shared" si="5"/>
        <v>agree</v>
      </c>
      <c r="I79" t="str">
        <f t="shared" si="6"/>
        <v/>
      </c>
      <c r="J79">
        <f t="shared" si="7"/>
        <v>2</v>
      </c>
      <c r="K79">
        <f t="shared" si="8"/>
        <v>0</v>
      </c>
      <c r="L79" t="str">
        <f t="shared" si="9"/>
        <v>0 compromised</v>
      </c>
    </row>
    <row r="80" spans="1:12" x14ac:dyDescent="0.3">
      <c r="A80" s="5" t="s">
        <v>194</v>
      </c>
      <c r="B80" s="5" t="s">
        <v>47</v>
      </c>
      <c r="C80" s="5" t="s">
        <v>21</v>
      </c>
      <c r="D80" s="5" t="s">
        <v>22</v>
      </c>
      <c r="E80" t="str">
        <f>VLOOKUP("npm_"&amp;A80&amp;"_"&amp;B80&amp;"_"&amp;C80&amp;"_"&amp;D80,'results'!$A:$H,8,FALSE)</f>
        <v>resolution_error</v>
      </c>
      <c r="F80" t="str">
        <f>VLOOKUP("pip_"&amp;A80&amp;"_"&amp;B80&amp;"_"&amp;C80&amp;"_"&amp;D80,'results'!$A:$H,8,FALSE)</f>
        <v>private_resolved</v>
      </c>
      <c r="G80" t="str">
        <f>VLOOKUP("mvn_"&amp;A80&amp;"_"&amp;B80&amp;"_"&amp;C80&amp;"_"&amp;D80,'results'!$A:$H,8,FALSE)</f>
        <v>private_resolved</v>
      </c>
      <c r="H80" t="str">
        <f t="shared" si="5"/>
        <v>disagree</v>
      </c>
      <c r="I80" t="str">
        <f t="shared" si="6"/>
        <v>npm alone has different result</v>
      </c>
      <c r="J80">
        <f t="shared" si="7"/>
        <v>3</v>
      </c>
      <c r="K80">
        <f t="shared" si="8"/>
        <v>0</v>
      </c>
      <c r="L80" t="str">
        <f t="shared" si="9"/>
        <v>0 compromised</v>
      </c>
    </row>
    <row r="81" spans="1:12" x14ac:dyDescent="0.3">
      <c r="A81" s="4" t="s">
        <v>194</v>
      </c>
      <c r="B81" s="4" t="s">
        <v>47</v>
      </c>
      <c r="C81" s="4" t="s">
        <v>21</v>
      </c>
      <c r="D81" s="4" t="s">
        <v>31</v>
      </c>
      <c r="E81" t="str">
        <f>VLOOKUP("npm_"&amp;A81&amp;"_"&amp;B81&amp;"_"&amp;C81&amp;"_"&amp;D81,'results'!$A:$H,8,FALSE)</f>
        <v>resolution_error</v>
      </c>
      <c r="F81" t="str">
        <f>VLOOKUP("pip_"&amp;A81&amp;"_"&amp;B81&amp;"_"&amp;C81&amp;"_"&amp;D81,'results'!$A:$H,8,FALSE)</f>
        <v>private_resolved</v>
      </c>
      <c r="G81" t="str">
        <f>VLOOKUP("mvn_"&amp;A81&amp;"_"&amp;B81&amp;"_"&amp;C81&amp;"_"&amp;D81,'results'!$A:$H,8,FALSE)</f>
        <v>private_resolved</v>
      </c>
      <c r="H81" t="str">
        <f t="shared" si="5"/>
        <v>disagree</v>
      </c>
      <c r="I81" t="str">
        <f t="shared" si="6"/>
        <v>npm alone has different result</v>
      </c>
      <c r="J81">
        <f t="shared" si="7"/>
        <v>3</v>
      </c>
      <c r="K81">
        <f t="shared" si="8"/>
        <v>0</v>
      </c>
      <c r="L81" t="str">
        <f t="shared" si="9"/>
        <v>0 compromised</v>
      </c>
    </row>
    <row r="82" spans="1:12" x14ac:dyDescent="0.3">
      <c r="A82" s="5" t="s">
        <v>194</v>
      </c>
      <c r="B82" s="5" t="s">
        <v>47</v>
      </c>
      <c r="C82" s="5" t="s">
        <v>34</v>
      </c>
      <c r="D82" s="5" t="s">
        <v>22</v>
      </c>
      <c r="E82" t="str">
        <f>VLOOKUP("npm_"&amp;A82&amp;"_"&amp;B82&amp;"_"&amp;C82&amp;"_"&amp;D82,'results'!$A:$H,8,FALSE)</f>
        <v>malicious_resolved</v>
      </c>
      <c r="F82" t="str">
        <f>VLOOKUP("pip_"&amp;A82&amp;"_"&amp;B82&amp;"_"&amp;C82&amp;"_"&amp;D82,'results'!$A:$H,8,FALSE)</f>
        <v>malicious_resolved</v>
      </c>
      <c r="G82" t="str">
        <f>VLOOKUP("mvn_"&amp;A82&amp;"_"&amp;B82&amp;"_"&amp;C82&amp;"_"&amp;D82,'results'!$A:$H,8,FALSE)</f>
        <v>malicious_resolved</v>
      </c>
      <c r="H82" t="str">
        <f t="shared" si="5"/>
        <v>agree</v>
      </c>
      <c r="I82" t="str">
        <f t="shared" si="6"/>
        <v/>
      </c>
      <c r="J82">
        <f t="shared" si="7"/>
        <v>3</v>
      </c>
      <c r="K82">
        <f t="shared" si="8"/>
        <v>3</v>
      </c>
      <c r="L82" t="str">
        <f t="shared" si="9"/>
        <v>all compromised</v>
      </c>
    </row>
    <row r="83" spans="1:12" x14ac:dyDescent="0.3">
      <c r="A83" s="4" t="s">
        <v>194</v>
      </c>
      <c r="B83" s="4" t="s">
        <v>47</v>
      </c>
      <c r="C83" s="4" t="s">
        <v>34</v>
      </c>
      <c r="D83" s="4" t="s">
        <v>31</v>
      </c>
      <c r="E83" t="str">
        <f>VLOOKUP("npm_"&amp;A83&amp;"_"&amp;B83&amp;"_"&amp;C83&amp;"_"&amp;D83,'results'!$A:$H,8,FALSE)</f>
        <v>malicious_resolved</v>
      </c>
      <c r="F83" t="str">
        <f>VLOOKUP("pip_"&amp;A83&amp;"_"&amp;B83&amp;"_"&amp;C83&amp;"_"&amp;D83,'results'!$A:$H,8,FALSE)</f>
        <v>malicious_resolved</v>
      </c>
      <c r="G83" t="str">
        <f>VLOOKUP("mvn_"&amp;A83&amp;"_"&amp;B83&amp;"_"&amp;C83&amp;"_"&amp;D83,'results'!$A:$H,8,FALSE)</f>
        <v>malicious_resolved</v>
      </c>
      <c r="H83" t="str">
        <f t="shared" si="5"/>
        <v>agree</v>
      </c>
      <c r="I83" t="str">
        <f t="shared" si="6"/>
        <v/>
      </c>
      <c r="J83">
        <f t="shared" si="7"/>
        <v>3</v>
      </c>
      <c r="K83">
        <f t="shared" si="8"/>
        <v>3</v>
      </c>
      <c r="L83" t="str">
        <f t="shared" si="9"/>
        <v>all compromised</v>
      </c>
    </row>
    <row r="84" spans="1:12" x14ac:dyDescent="0.3">
      <c r="A84" s="5" t="s">
        <v>194</v>
      </c>
      <c r="B84" s="5" t="s">
        <v>47</v>
      </c>
      <c r="C84" s="5" t="s">
        <v>42</v>
      </c>
      <c r="D84" s="5" t="s">
        <v>22</v>
      </c>
      <c r="E84" t="str">
        <f>VLOOKUP("npm_"&amp;A84&amp;"_"&amp;B84&amp;"_"&amp;C84&amp;"_"&amp;D84,'results'!$A:$H,8,FALSE)</f>
        <v>malicious_resolved</v>
      </c>
      <c r="F84" t="str">
        <f>VLOOKUP("pip_"&amp;A84&amp;"_"&amp;B84&amp;"_"&amp;C84&amp;"_"&amp;D84,'results'!$A:$H,8,FALSE)</f>
        <v>malicious_resolved</v>
      </c>
      <c r="G84" t="str">
        <f>VLOOKUP("mvn_"&amp;A84&amp;"_"&amp;B84&amp;"_"&amp;C84&amp;"_"&amp;D84,'results'!$A:$H,8,FALSE)</f>
        <v>invalid_configuration</v>
      </c>
      <c r="H84" t="str">
        <f t="shared" si="5"/>
        <v>agree</v>
      </c>
      <c r="I84" t="str">
        <f t="shared" si="6"/>
        <v/>
      </c>
      <c r="J84">
        <f t="shared" si="7"/>
        <v>2</v>
      </c>
      <c r="K84">
        <f t="shared" si="8"/>
        <v>2</v>
      </c>
      <c r="L84" t="str">
        <f t="shared" si="9"/>
        <v>all compromised</v>
      </c>
    </row>
    <row r="85" spans="1:12" x14ac:dyDescent="0.3">
      <c r="A85" s="4" t="s">
        <v>194</v>
      </c>
      <c r="B85" s="4" t="s">
        <v>47</v>
      </c>
      <c r="C85" s="4" t="s">
        <v>42</v>
      </c>
      <c r="D85" s="4" t="s">
        <v>31</v>
      </c>
      <c r="E85" t="str">
        <f>VLOOKUP("npm_"&amp;A85&amp;"_"&amp;B85&amp;"_"&amp;C85&amp;"_"&amp;D85,'results'!$A:$H,8,FALSE)</f>
        <v>malicious_resolved</v>
      </c>
      <c r="F85" t="str">
        <f>VLOOKUP("pip_"&amp;A85&amp;"_"&amp;B85&amp;"_"&amp;C85&amp;"_"&amp;D85,'results'!$A:$H,8,FALSE)</f>
        <v>malicious_resolved</v>
      </c>
      <c r="G85" t="str">
        <f>VLOOKUP("mvn_"&amp;A85&amp;"_"&amp;B85&amp;"_"&amp;C85&amp;"_"&amp;D85,'results'!$A:$H,8,FALSE)</f>
        <v>invalid_configuration</v>
      </c>
      <c r="H85" t="str">
        <f t="shared" si="5"/>
        <v>agree</v>
      </c>
      <c r="I85" t="str">
        <f t="shared" si="6"/>
        <v/>
      </c>
      <c r="J85">
        <f t="shared" si="7"/>
        <v>2</v>
      </c>
      <c r="K85">
        <f t="shared" si="8"/>
        <v>2</v>
      </c>
      <c r="L85" t="str">
        <f t="shared" si="9"/>
        <v>all compromised</v>
      </c>
    </row>
    <row r="86" spans="1:12" x14ac:dyDescent="0.3">
      <c r="A86" s="5" t="s">
        <v>194</v>
      </c>
      <c r="B86" s="5" t="s">
        <v>79</v>
      </c>
      <c r="C86" s="5" t="s">
        <v>21</v>
      </c>
      <c r="D86" s="5" t="s">
        <v>22</v>
      </c>
      <c r="E86" t="str">
        <f>VLOOKUP("npm_"&amp;A86&amp;"_"&amp;B86&amp;"_"&amp;C86&amp;"_"&amp;D86,'results'!$A:$H,8,FALSE)</f>
        <v>resolution_error</v>
      </c>
      <c r="F86" t="str">
        <f>VLOOKUP("pip_"&amp;A86&amp;"_"&amp;B86&amp;"_"&amp;C86&amp;"_"&amp;D86,'results'!$A:$H,8,FALSE)</f>
        <v>resolution_error</v>
      </c>
      <c r="G86" t="str">
        <f>VLOOKUP("mvn_"&amp;A86&amp;"_"&amp;B86&amp;"_"&amp;C86&amp;"_"&amp;D86,'results'!$A:$H,8,FALSE)</f>
        <v>resolution_error</v>
      </c>
      <c r="H86" t="str">
        <f t="shared" si="5"/>
        <v>agree</v>
      </c>
      <c r="I86" t="str">
        <f t="shared" si="6"/>
        <v/>
      </c>
      <c r="J86">
        <f t="shared" si="7"/>
        <v>3</v>
      </c>
      <c r="K86">
        <f t="shared" si="8"/>
        <v>0</v>
      </c>
      <c r="L86" t="str">
        <f t="shared" si="9"/>
        <v>0 compromised</v>
      </c>
    </row>
    <row r="87" spans="1:12" x14ac:dyDescent="0.3">
      <c r="A87" s="4" t="s">
        <v>194</v>
      </c>
      <c r="B87" s="4" t="s">
        <v>79</v>
      </c>
      <c r="C87" s="4" t="s">
        <v>21</v>
      </c>
      <c r="D87" s="4" t="s">
        <v>31</v>
      </c>
      <c r="E87" t="str">
        <f>VLOOKUP("npm_"&amp;A87&amp;"_"&amp;B87&amp;"_"&amp;C87&amp;"_"&amp;D87,'results'!$A:$H,8,FALSE)</f>
        <v>resolution_error</v>
      </c>
      <c r="F87" t="str">
        <f>VLOOKUP("pip_"&amp;A87&amp;"_"&amp;B87&amp;"_"&amp;C87&amp;"_"&amp;D87,'results'!$A:$H,8,FALSE)</f>
        <v>resolution_error</v>
      </c>
      <c r="G87" t="str">
        <f>VLOOKUP("mvn_"&amp;A87&amp;"_"&amp;B87&amp;"_"&amp;C87&amp;"_"&amp;D87,'results'!$A:$H,8,FALSE)</f>
        <v>resolution_error</v>
      </c>
      <c r="H87" t="str">
        <f t="shared" si="5"/>
        <v>agree</v>
      </c>
      <c r="I87" t="str">
        <f t="shared" si="6"/>
        <v/>
      </c>
      <c r="J87">
        <f t="shared" si="7"/>
        <v>3</v>
      </c>
      <c r="K87">
        <f t="shared" si="8"/>
        <v>0</v>
      </c>
      <c r="L87" t="str">
        <f t="shared" si="9"/>
        <v>0 compromised</v>
      </c>
    </row>
    <row r="88" spans="1:12" x14ac:dyDescent="0.3">
      <c r="A88" s="5" t="s">
        <v>194</v>
      </c>
      <c r="B88" s="5" t="s">
        <v>79</v>
      </c>
      <c r="C88" s="5" t="s">
        <v>34</v>
      </c>
      <c r="D88" s="5" t="s">
        <v>22</v>
      </c>
      <c r="E88" t="str">
        <f>VLOOKUP("npm_"&amp;A88&amp;"_"&amp;B88&amp;"_"&amp;C88&amp;"_"&amp;D88,'results'!$A:$H,8,FALSE)</f>
        <v>malicious_resolved</v>
      </c>
      <c r="F88" t="str">
        <f>VLOOKUP("pip_"&amp;A88&amp;"_"&amp;B88&amp;"_"&amp;C88&amp;"_"&amp;D88,'results'!$A:$H,8,FALSE)</f>
        <v>malicious_resolved</v>
      </c>
      <c r="G88" t="str">
        <f>VLOOKUP("mvn_"&amp;A88&amp;"_"&amp;B88&amp;"_"&amp;C88&amp;"_"&amp;D88,'results'!$A:$H,8,FALSE)</f>
        <v>malicious_resolved</v>
      </c>
      <c r="H88" t="str">
        <f t="shared" si="5"/>
        <v>agree</v>
      </c>
      <c r="I88" t="str">
        <f t="shared" si="6"/>
        <v/>
      </c>
      <c r="J88">
        <f t="shared" si="7"/>
        <v>3</v>
      </c>
      <c r="K88">
        <f t="shared" si="8"/>
        <v>3</v>
      </c>
      <c r="L88" t="str">
        <f t="shared" si="9"/>
        <v>all compromised</v>
      </c>
    </row>
    <row r="89" spans="1:12" x14ac:dyDescent="0.3">
      <c r="A89" s="4" t="s">
        <v>194</v>
      </c>
      <c r="B89" s="4" t="s">
        <v>79</v>
      </c>
      <c r="C89" s="4" t="s">
        <v>34</v>
      </c>
      <c r="D89" s="4" t="s">
        <v>31</v>
      </c>
      <c r="E89" t="str">
        <f>VLOOKUP("npm_"&amp;A89&amp;"_"&amp;B89&amp;"_"&amp;C89&amp;"_"&amp;D89,'results'!$A:$H,8,FALSE)</f>
        <v>malicious_resolved</v>
      </c>
      <c r="F89" t="str">
        <f>VLOOKUP("pip_"&amp;A89&amp;"_"&amp;B89&amp;"_"&amp;C89&amp;"_"&amp;D89,'results'!$A:$H,8,FALSE)</f>
        <v>malicious_resolved</v>
      </c>
      <c r="G89" t="str">
        <f>VLOOKUP("mvn_"&amp;A89&amp;"_"&amp;B89&amp;"_"&amp;C89&amp;"_"&amp;D89,'results'!$A:$H,8,FALSE)</f>
        <v>malicious_resolved</v>
      </c>
      <c r="H89" t="str">
        <f t="shared" si="5"/>
        <v>agree</v>
      </c>
      <c r="I89" t="str">
        <f t="shared" si="6"/>
        <v/>
      </c>
      <c r="J89">
        <f t="shared" si="7"/>
        <v>3</v>
      </c>
      <c r="K89">
        <f t="shared" si="8"/>
        <v>3</v>
      </c>
      <c r="L89" t="str">
        <f t="shared" si="9"/>
        <v>all compromised</v>
      </c>
    </row>
    <row r="90" spans="1:12" x14ac:dyDescent="0.3">
      <c r="A90" s="5" t="s">
        <v>194</v>
      </c>
      <c r="B90" s="5" t="s">
        <v>79</v>
      </c>
      <c r="C90" s="5" t="s">
        <v>42</v>
      </c>
      <c r="D90" s="5" t="s">
        <v>22</v>
      </c>
      <c r="E90" t="str">
        <f>VLOOKUP("npm_"&amp;A90&amp;"_"&amp;B90&amp;"_"&amp;C90&amp;"_"&amp;D90,'results'!$A:$H,8,FALSE)</f>
        <v>malicious_resolved</v>
      </c>
      <c r="F90" t="str">
        <f>VLOOKUP("pip_"&amp;A90&amp;"_"&amp;B90&amp;"_"&amp;C90&amp;"_"&amp;D90,'results'!$A:$H,8,FALSE)</f>
        <v>malicious_resolved</v>
      </c>
      <c r="G90" t="str">
        <f>VLOOKUP("mvn_"&amp;A90&amp;"_"&amp;B90&amp;"_"&amp;C90&amp;"_"&amp;D90,'results'!$A:$H,8,FALSE)</f>
        <v>invalid_configuration</v>
      </c>
      <c r="H90" t="str">
        <f t="shared" si="5"/>
        <v>agree</v>
      </c>
      <c r="I90" t="str">
        <f t="shared" si="6"/>
        <v/>
      </c>
      <c r="J90">
        <f t="shared" si="7"/>
        <v>2</v>
      </c>
      <c r="K90">
        <f t="shared" si="8"/>
        <v>2</v>
      </c>
      <c r="L90" t="str">
        <f t="shared" si="9"/>
        <v>all compromised</v>
      </c>
    </row>
    <row r="91" spans="1:12" x14ac:dyDescent="0.3">
      <c r="A91" s="4" t="s">
        <v>194</v>
      </c>
      <c r="B91" s="4" t="s">
        <v>79</v>
      </c>
      <c r="C91" s="4" t="s">
        <v>42</v>
      </c>
      <c r="D91" s="4" t="s">
        <v>31</v>
      </c>
      <c r="E91" t="str">
        <f>VLOOKUP("npm_"&amp;A91&amp;"_"&amp;B91&amp;"_"&amp;C91&amp;"_"&amp;D91,'results'!$A:$H,8,FALSE)</f>
        <v>malicious_resolved</v>
      </c>
      <c r="F91" t="str">
        <f>VLOOKUP("pip_"&amp;A91&amp;"_"&amp;B91&amp;"_"&amp;C91&amp;"_"&amp;D91,'results'!$A:$H,8,FALSE)</f>
        <v>malicious_resolved</v>
      </c>
      <c r="G91" t="str">
        <f>VLOOKUP("mvn_"&amp;A91&amp;"_"&amp;B91&amp;"_"&amp;C91&amp;"_"&amp;D91,'results'!$A:$H,8,FALSE)</f>
        <v>invalid_configuration</v>
      </c>
      <c r="H91" t="str">
        <f t="shared" si="5"/>
        <v>agree</v>
      </c>
      <c r="I91" t="str">
        <f t="shared" si="6"/>
        <v/>
      </c>
      <c r="J91">
        <f t="shared" si="7"/>
        <v>2</v>
      </c>
      <c r="K91">
        <f t="shared" si="8"/>
        <v>2</v>
      </c>
      <c r="L91" t="str">
        <f t="shared" si="9"/>
        <v>all compromised</v>
      </c>
    </row>
    <row r="92" spans="1:12" x14ac:dyDescent="0.3">
      <c r="A92" s="4" t="s">
        <v>19</v>
      </c>
      <c r="B92" s="4" t="s">
        <v>20</v>
      </c>
      <c r="C92" s="4" t="s">
        <v>21</v>
      </c>
      <c r="D92" s="4" t="s">
        <v>238</v>
      </c>
      <c r="E92" t="str">
        <f>VLOOKUP("npm_"&amp;A92&amp;"_"&amp;B92&amp;"_"&amp;C92&amp;"_"&amp;D92,'results'!$A:$H,8,FALSE)</f>
        <v>private_resolved</v>
      </c>
      <c r="F92" t="str">
        <f>VLOOKUP("pip_"&amp;A92&amp;"_"&amp;B92&amp;"_"&amp;C92&amp;"_"&amp;D92,'results'!$A:$H,8,FALSE)</f>
        <v>private_resolved</v>
      </c>
      <c r="G92" t="str">
        <f>VLOOKUP("mvn_"&amp;A92&amp;"_"&amp;B92&amp;"_"&amp;C92&amp;"_"&amp;D92,'results'!$A:$H,8,FALSE)</f>
        <v>private_resolved</v>
      </c>
      <c r="H92" t="str">
        <f t="shared" si="5"/>
        <v>agree</v>
      </c>
      <c r="I92" t="str">
        <f t="shared" si="6"/>
        <v/>
      </c>
      <c r="J92">
        <f t="shared" si="7"/>
        <v>3</v>
      </c>
      <c r="K92">
        <f t="shared" si="8"/>
        <v>0</v>
      </c>
      <c r="L92" t="str">
        <f t="shared" si="9"/>
        <v>0 compromised</v>
      </c>
    </row>
    <row r="93" spans="1:12" x14ac:dyDescent="0.3">
      <c r="A93" s="5" t="s">
        <v>19</v>
      </c>
      <c r="B93" s="5" t="s">
        <v>20</v>
      </c>
      <c r="C93" s="5" t="s">
        <v>34</v>
      </c>
      <c r="D93" s="5" t="s">
        <v>238</v>
      </c>
      <c r="E93" t="str">
        <f>VLOOKUP("npm_"&amp;A93&amp;"_"&amp;B93&amp;"_"&amp;C93&amp;"_"&amp;D93,'results'!$A:$H,8,FALSE)</f>
        <v>malicious_resolved</v>
      </c>
      <c r="F93" t="str">
        <f>VLOOKUP("pip_"&amp;A93&amp;"_"&amp;B93&amp;"_"&amp;C93&amp;"_"&amp;D93,'results'!$A:$H,8,FALSE)</f>
        <v>malicious_resolved</v>
      </c>
      <c r="G93" t="str">
        <f>VLOOKUP("mvn_"&amp;A93&amp;"_"&amp;B93&amp;"_"&amp;C93&amp;"_"&amp;D93,'results'!$A:$H,8,FALSE)</f>
        <v>malicious_resolved</v>
      </c>
      <c r="H93" t="str">
        <f t="shared" si="5"/>
        <v>agree</v>
      </c>
      <c r="I93" t="str">
        <f t="shared" si="6"/>
        <v/>
      </c>
      <c r="J93">
        <f t="shared" si="7"/>
        <v>3</v>
      </c>
      <c r="K93">
        <f t="shared" si="8"/>
        <v>3</v>
      </c>
      <c r="L93" t="str">
        <f t="shared" si="9"/>
        <v>all compromised</v>
      </c>
    </row>
    <row r="94" spans="1:12" x14ac:dyDescent="0.3">
      <c r="A94" s="4" t="s">
        <v>19</v>
      </c>
      <c r="B94" s="4" t="s">
        <v>20</v>
      </c>
      <c r="C94" s="4" t="s">
        <v>42</v>
      </c>
      <c r="D94" s="4" t="s">
        <v>238</v>
      </c>
      <c r="E94" t="str">
        <f>VLOOKUP("npm_"&amp;A94&amp;"_"&amp;B94&amp;"_"&amp;C94&amp;"_"&amp;D94,'results'!$A:$H,8,FALSE)</f>
        <v>malicious_resolved</v>
      </c>
      <c r="F94" t="str">
        <f>VLOOKUP("pip_"&amp;A94&amp;"_"&amp;B94&amp;"_"&amp;C94&amp;"_"&amp;D94,'results'!$A:$H,8,FALSE)</f>
        <v>malicious_resolved</v>
      </c>
      <c r="G94" t="str">
        <f>VLOOKUP("mvn_"&amp;A94&amp;"_"&amp;B94&amp;"_"&amp;C94&amp;"_"&amp;D94,'results'!$A:$H,8,FALSE)</f>
        <v>invalid_configuration</v>
      </c>
      <c r="H94" t="str">
        <f t="shared" si="5"/>
        <v>agree</v>
      </c>
      <c r="I94" t="str">
        <f t="shared" si="6"/>
        <v/>
      </c>
      <c r="J94">
        <f t="shared" si="7"/>
        <v>2</v>
      </c>
      <c r="K94">
        <f t="shared" si="8"/>
        <v>2</v>
      </c>
      <c r="L94" t="str">
        <f t="shared" si="9"/>
        <v>all compromised</v>
      </c>
    </row>
    <row r="95" spans="1:12" x14ac:dyDescent="0.3">
      <c r="A95" s="5" t="s">
        <v>19</v>
      </c>
      <c r="B95" s="5" t="s">
        <v>47</v>
      </c>
      <c r="C95" s="5" t="s">
        <v>21</v>
      </c>
      <c r="D95" s="5" t="s">
        <v>238</v>
      </c>
      <c r="E95" t="str">
        <f>VLOOKUP("npm_"&amp;A95&amp;"_"&amp;B95&amp;"_"&amp;C95&amp;"_"&amp;D95,'results'!$A:$H,8,FALSE)</f>
        <v>resolution_error</v>
      </c>
      <c r="F95" t="str">
        <f>VLOOKUP("pip_"&amp;A95&amp;"_"&amp;B95&amp;"_"&amp;C95&amp;"_"&amp;D95,'results'!$A:$H,8,FALSE)</f>
        <v>private_resolved</v>
      </c>
      <c r="G95" t="str">
        <f>VLOOKUP("mvn_"&amp;A95&amp;"_"&amp;B95&amp;"_"&amp;C95&amp;"_"&amp;D95,'results'!$A:$H,8,FALSE)</f>
        <v>private_resolved</v>
      </c>
      <c r="H95" t="str">
        <f t="shared" si="5"/>
        <v>disagree</v>
      </c>
      <c r="I95" t="str">
        <f t="shared" si="6"/>
        <v>npm alone has different result</v>
      </c>
      <c r="J95">
        <f t="shared" si="7"/>
        <v>3</v>
      </c>
      <c r="K95">
        <f t="shared" si="8"/>
        <v>0</v>
      </c>
      <c r="L95" t="str">
        <f t="shared" si="9"/>
        <v>0 compromised</v>
      </c>
    </row>
    <row r="96" spans="1:12" x14ac:dyDescent="0.3">
      <c r="A96" s="4" t="s">
        <v>19</v>
      </c>
      <c r="B96" s="4" t="s">
        <v>47</v>
      </c>
      <c r="C96" s="4" t="s">
        <v>34</v>
      </c>
      <c r="D96" s="4" t="s">
        <v>238</v>
      </c>
      <c r="E96" t="str">
        <f>VLOOKUP("npm_"&amp;A96&amp;"_"&amp;B96&amp;"_"&amp;C96&amp;"_"&amp;D96,'results'!$A:$H,8,FALSE)</f>
        <v>malicious_resolved</v>
      </c>
      <c r="F96" t="str">
        <f>VLOOKUP("pip_"&amp;A96&amp;"_"&amp;B96&amp;"_"&amp;C96&amp;"_"&amp;D96,'results'!$A:$H,8,FALSE)</f>
        <v>malicious_resolved</v>
      </c>
      <c r="G96" t="str">
        <f>VLOOKUP("mvn_"&amp;A96&amp;"_"&amp;B96&amp;"_"&amp;C96&amp;"_"&amp;D96,'results'!$A:$H,8,FALSE)</f>
        <v>malicious_resolved</v>
      </c>
      <c r="H96" t="str">
        <f t="shared" si="5"/>
        <v>agree</v>
      </c>
      <c r="I96" t="str">
        <f t="shared" si="6"/>
        <v/>
      </c>
      <c r="J96">
        <f t="shared" si="7"/>
        <v>3</v>
      </c>
      <c r="K96">
        <f t="shared" si="8"/>
        <v>3</v>
      </c>
      <c r="L96" t="str">
        <f t="shared" si="9"/>
        <v>all compromised</v>
      </c>
    </row>
    <row r="97" spans="1:12" x14ac:dyDescent="0.3">
      <c r="A97" s="5" t="s">
        <v>19</v>
      </c>
      <c r="B97" s="5" t="s">
        <v>47</v>
      </c>
      <c r="C97" s="5" t="s">
        <v>42</v>
      </c>
      <c r="D97" s="5" t="s">
        <v>238</v>
      </c>
      <c r="E97" t="str">
        <f>VLOOKUP("npm_"&amp;A97&amp;"_"&amp;B97&amp;"_"&amp;C97&amp;"_"&amp;D97,'results'!$A:$H,8,FALSE)</f>
        <v>malicious_resolved</v>
      </c>
      <c r="F97" t="str">
        <f>VLOOKUP("pip_"&amp;A97&amp;"_"&amp;B97&amp;"_"&amp;C97&amp;"_"&amp;D97,'results'!$A:$H,8,FALSE)</f>
        <v>malicious_resolved</v>
      </c>
      <c r="G97" t="str">
        <f>VLOOKUP("mvn_"&amp;A97&amp;"_"&amp;B97&amp;"_"&amp;C97&amp;"_"&amp;D97,'results'!$A:$H,8,FALSE)</f>
        <v>invalid_configuration</v>
      </c>
      <c r="H97" t="str">
        <f t="shared" si="5"/>
        <v>agree</v>
      </c>
      <c r="I97" t="str">
        <f t="shared" si="6"/>
        <v/>
      </c>
      <c r="J97">
        <f t="shared" si="7"/>
        <v>2</v>
      </c>
      <c r="K97">
        <f t="shared" si="8"/>
        <v>2</v>
      </c>
      <c r="L97" t="str">
        <f t="shared" si="9"/>
        <v>all compromised</v>
      </c>
    </row>
    <row r="98" spans="1:12" x14ac:dyDescent="0.3">
      <c r="A98" s="4" t="s">
        <v>19</v>
      </c>
      <c r="B98" s="4" t="s">
        <v>64</v>
      </c>
      <c r="C98" s="4" t="s">
        <v>21</v>
      </c>
      <c r="D98" s="4" t="s">
        <v>238</v>
      </c>
      <c r="E98" t="str">
        <f>VLOOKUP("npm_"&amp;A98&amp;"_"&amp;B98&amp;"_"&amp;C98&amp;"_"&amp;D98,'results'!$A:$H,8,FALSE)</f>
        <v>resolution_error</v>
      </c>
      <c r="F98" t="str">
        <f>VLOOKUP("pip_"&amp;A98&amp;"_"&amp;B98&amp;"_"&amp;C98&amp;"_"&amp;D98,'results'!$A:$H,8,FALSE)</f>
        <v>private_resolved</v>
      </c>
      <c r="G98" t="str">
        <f>VLOOKUP("mvn_"&amp;A98&amp;"_"&amp;B98&amp;"_"&amp;C98&amp;"_"&amp;D98,'results'!$A:$H,8,FALSE)</f>
        <v>private_resolved</v>
      </c>
      <c r="H98" t="str">
        <f t="shared" si="5"/>
        <v>disagree</v>
      </c>
      <c r="I98" t="str">
        <f t="shared" si="6"/>
        <v>npm alone has different result</v>
      </c>
      <c r="J98">
        <f t="shared" si="7"/>
        <v>3</v>
      </c>
      <c r="K98">
        <f t="shared" si="8"/>
        <v>0</v>
      </c>
      <c r="L98" t="str">
        <f t="shared" si="9"/>
        <v>0 compromised</v>
      </c>
    </row>
    <row r="99" spans="1:12" x14ac:dyDescent="0.3">
      <c r="A99" s="5" t="s">
        <v>19</v>
      </c>
      <c r="B99" s="5" t="s">
        <v>64</v>
      </c>
      <c r="C99" s="5" t="s">
        <v>34</v>
      </c>
      <c r="D99" s="5" t="s">
        <v>238</v>
      </c>
      <c r="E99" t="str">
        <f>VLOOKUP("npm_"&amp;A99&amp;"_"&amp;B99&amp;"_"&amp;C99&amp;"_"&amp;D99,'results'!$A:$H,8,FALSE)</f>
        <v>malicious_resolved</v>
      </c>
      <c r="F99" t="str">
        <f>VLOOKUP("pip_"&amp;A99&amp;"_"&amp;B99&amp;"_"&amp;C99&amp;"_"&amp;D99,'results'!$A:$H,8,FALSE)</f>
        <v>malicious_resolved</v>
      </c>
      <c r="G99" t="str">
        <f>VLOOKUP("mvn_"&amp;A99&amp;"_"&amp;B99&amp;"_"&amp;C99&amp;"_"&amp;D99,'results'!$A:$H,8,FALSE)</f>
        <v>malicious_resolved</v>
      </c>
      <c r="H99" t="str">
        <f t="shared" si="5"/>
        <v>agree</v>
      </c>
      <c r="I99" t="str">
        <f t="shared" si="6"/>
        <v/>
      </c>
      <c r="J99">
        <f t="shared" si="7"/>
        <v>3</v>
      </c>
      <c r="K99">
        <f t="shared" si="8"/>
        <v>3</v>
      </c>
      <c r="L99" t="str">
        <f t="shared" si="9"/>
        <v>all compromised</v>
      </c>
    </row>
    <row r="100" spans="1:12" x14ac:dyDescent="0.3">
      <c r="A100" s="4" t="s">
        <v>19</v>
      </c>
      <c r="B100" s="4" t="s">
        <v>64</v>
      </c>
      <c r="C100" s="4" t="s">
        <v>42</v>
      </c>
      <c r="D100" s="4" t="s">
        <v>238</v>
      </c>
      <c r="E100" t="str">
        <f>VLOOKUP("npm_"&amp;A100&amp;"_"&amp;B100&amp;"_"&amp;C100&amp;"_"&amp;D100,'results'!$A:$H,8,FALSE)</f>
        <v>malicious_resolved</v>
      </c>
      <c r="F100" t="str">
        <f>VLOOKUP("pip_"&amp;A100&amp;"_"&amp;B100&amp;"_"&amp;C100&amp;"_"&amp;D100,'results'!$A:$H,8,FALSE)</f>
        <v>malicious_resolved</v>
      </c>
      <c r="G100" t="str">
        <f>VLOOKUP("mvn_"&amp;A100&amp;"_"&amp;B100&amp;"_"&amp;C100&amp;"_"&amp;D100,'results'!$A:$H,8,FALSE)</f>
        <v>invalid_configuration</v>
      </c>
      <c r="H100" t="str">
        <f t="shared" si="5"/>
        <v>agree</v>
      </c>
      <c r="I100" t="str">
        <f t="shared" si="6"/>
        <v/>
      </c>
      <c r="J100">
        <f t="shared" si="7"/>
        <v>2</v>
      </c>
      <c r="K100">
        <f t="shared" si="8"/>
        <v>2</v>
      </c>
      <c r="L100" t="str">
        <f t="shared" si="9"/>
        <v>all compromised</v>
      </c>
    </row>
    <row r="101" spans="1:12" x14ac:dyDescent="0.3">
      <c r="A101" s="5" t="s">
        <v>19</v>
      </c>
      <c r="B101" s="5" t="s">
        <v>79</v>
      </c>
      <c r="C101" s="5" t="s">
        <v>21</v>
      </c>
      <c r="D101" s="5" t="s">
        <v>238</v>
      </c>
      <c r="E101" t="str">
        <f>VLOOKUP("npm_"&amp;A101&amp;"_"&amp;B101&amp;"_"&amp;C101&amp;"_"&amp;D101,'results'!$A:$H,8,FALSE)</f>
        <v>resolution_error</v>
      </c>
      <c r="F101" t="str">
        <f>VLOOKUP("pip_"&amp;A101&amp;"_"&amp;B101&amp;"_"&amp;C101&amp;"_"&amp;D101,'results'!$A:$H,8,FALSE)</f>
        <v>resolution_error</v>
      </c>
      <c r="G101" t="str">
        <f>VLOOKUP("mvn_"&amp;A101&amp;"_"&amp;B101&amp;"_"&amp;C101&amp;"_"&amp;D101,'results'!$A:$H,8,FALSE)</f>
        <v>resolution_error</v>
      </c>
      <c r="H101" t="str">
        <f t="shared" si="5"/>
        <v>agree</v>
      </c>
      <c r="I101" t="str">
        <f t="shared" si="6"/>
        <v/>
      </c>
      <c r="J101">
        <f t="shared" si="7"/>
        <v>3</v>
      </c>
      <c r="K101">
        <f t="shared" si="8"/>
        <v>0</v>
      </c>
      <c r="L101" t="str">
        <f t="shared" si="9"/>
        <v>0 compromised</v>
      </c>
    </row>
    <row r="102" spans="1:12" x14ac:dyDescent="0.3">
      <c r="A102" s="4" t="s">
        <v>19</v>
      </c>
      <c r="B102" s="4" t="s">
        <v>79</v>
      </c>
      <c r="C102" s="4" t="s">
        <v>34</v>
      </c>
      <c r="D102" s="4" t="s">
        <v>238</v>
      </c>
      <c r="E102" t="str">
        <f>VLOOKUP("npm_"&amp;A102&amp;"_"&amp;B102&amp;"_"&amp;C102&amp;"_"&amp;D102,'results'!$A:$H,8,FALSE)</f>
        <v>malicious_resolved</v>
      </c>
      <c r="F102" t="str">
        <f>VLOOKUP("pip_"&amp;A102&amp;"_"&amp;B102&amp;"_"&amp;C102&amp;"_"&amp;D102,'results'!$A:$H,8,FALSE)</f>
        <v>resolution_error</v>
      </c>
      <c r="G102" t="str">
        <f>VLOOKUP("mvn_"&amp;A102&amp;"_"&amp;B102&amp;"_"&amp;C102&amp;"_"&amp;D102,'results'!$A:$H,8,FALSE)</f>
        <v>malicious_resolved</v>
      </c>
      <c r="H102" t="str">
        <f t="shared" si="5"/>
        <v>disagree</v>
      </c>
      <c r="I102" t="str">
        <f t="shared" si="6"/>
        <v>pip alone has different result</v>
      </c>
      <c r="J102">
        <f t="shared" si="7"/>
        <v>3</v>
      </c>
      <c r="K102">
        <f t="shared" si="8"/>
        <v>2</v>
      </c>
      <c r="L102" t="str">
        <f t="shared" si="9"/>
        <v>partly compromised</v>
      </c>
    </row>
    <row r="103" spans="1:12" x14ac:dyDescent="0.3">
      <c r="A103" s="5" t="s">
        <v>19</v>
      </c>
      <c r="B103" s="5" t="s">
        <v>79</v>
      </c>
      <c r="C103" s="5" t="s">
        <v>42</v>
      </c>
      <c r="D103" s="5" t="s">
        <v>238</v>
      </c>
      <c r="E103" t="str">
        <f>VLOOKUP("npm_"&amp;A103&amp;"_"&amp;B103&amp;"_"&amp;C103&amp;"_"&amp;D103,'results'!$A:$H,8,FALSE)</f>
        <v>malicious_resolved</v>
      </c>
      <c r="F103" t="str">
        <f>VLOOKUP("pip_"&amp;A103&amp;"_"&amp;B103&amp;"_"&amp;C103&amp;"_"&amp;D103,'results'!$A:$H,8,FALSE)</f>
        <v>resolution_error</v>
      </c>
      <c r="G103" t="str">
        <f>VLOOKUP("mvn_"&amp;A103&amp;"_"&amp;B103&amp;"_"&amp;C103&amp;"_"&amp;D103,'results'!$A:$H,8,FALSE)</f>
        <v>invalid_configuration</v>
      </c>
      <c r="H103" t="str">
        <f t="shared" si="5"/>
        <v>disagree</v>
      </c>
      <c r="I103" t="str">
        <f t="shared" si="6"/>
        <v>npm alone has different result</v>
      </c>
      <c r="J103">
        <f t="shared" si="7"/>
        <v>2</v>
      </c>
      <c r="K103">
        <f t="shared" si="8"/>
        <v>1</v>
      </c>
      <c r="L103" t="str">
        <f t="shared" si="9"/>
        <v>partly compromised</v>
      </c>
    </row>
    <row r="104" spans="1:12" x14ac:dyDescent="0.3">
      <c r="A104" s="4" t="s">
        <v>92</v>
      </c>
      <c r="B104" s="4" t="s">
        <v>20</v>
      </c>
      <c r="C104" s="4" t="s">
        <v>21</v>
      </c>
      <c r="D104" s="4" t="s">
        <v>238</v>
      </c>
      <c r="E104" t="str">
        <f>VLOOKUP("npm_"&amp;A104&amp;"_"&amp;B104&amp;"_"&amp;C104&amp;"_"&amp;D104,'results'!$A:$H,8,FALSE)</f>
        <v>private_resolved</v>
      </c>
      <c r="F104" t="str">
        <f>VLOOKUP("pip_"&amp;A104&amp;"_"&amp;B104&amp;"_"&amp;C104&amp;"_"&amp;D104,'results'!$A:$H,8,FALSE)</f>
        <v>private_resolved</v>
      </c>
      <c r="G104" t="str">
        <f>VLOOKUP("mvn_"&amp;A104&amp;"_"&amp;B104&amp;"_"&amp;C104&amp;"_"&amp;D104,'results'!$A:$H,8,FALSE)</f>
        <v>private_resolved</v>
      </c>
      <c r="H104" t="str">
        <f t="shared" si="5"/>
        <v>agree</v>
      </c>
      <c r="I104" t="str">
        <f t="shared" si="6"/>
        <v/>
      </c>
      <c r="J104">
        <f t="shared" si="7"/>
        <v>3</v>
      </c>
      <c r="K104">
        <f t="shared" si="8"/>
        <v>0</v>
      </c>
      <c r="L104" t="str">
        <f t="shared" si="9"/>
        <v>0 compromised</v>
      </c>
    </row>
    <row r="105" spans="1:12" x14ac:dyDescent="0.3">
      <c r="A105" s="5" t="s">
        <v>92</v>
      </c>
      <c r="B105" s="5" t="s">
        <v>20</v>
      </c>
      <c r="C105" s="5" t="s">
        <v>34</v>
      </c>
      <c r="D105" s="5" t="s">
        <v>238</v>
      </c>
      <c r="E105" t="str">
        <f>VLOOKUP("npm_"&amp;A105&amp;"_"&amp;B105&amp;"_"&amp;C105&amp;"_"&amp;D105,'results'!$A:$H,8,FALSE)</f>
        <v>malicious_resolved</v>
      </c>
      <c r="F105" t="str">
        <f>VLOOKUP("pip_"&amp;A105&amp;"_"&amp;B105&amp;"_"&amp;C105&amp;"_"&amp;D105,'results'!$A:$H,8,FALSE)</f>
        <v>malicious_resolved</v>
      </c>
      <c r="G105" t="str">
        <f>VLOOKUP("mvn_"&amp;A105&amp;"_"&amp;B105&amp;"_"&amp;C105&amp;"_"&amp;D105,'results'!$A:$H,8,FALSE)</f>
        <v>malicious_resolved</v>
      </c>
      <c r="H105" t="str">
        <f t="shared" si="5"/>
        <v>agree</v>
      </c>
      <c r="I105" t="str">
        <f t="shared" si="6"/>
        <v/>
      </c>
      <c r="J105">
        <f t="shared" si="7"/>
        <v>3</v>
      </c>
      <c r="K105">
        <f t="shared" si="8"/>
        <v>3</v>
      </c>
      <c r="L105" t="str">
        <f t="shared" si="9"/>
        <v>all compromised</v>
      </c>
    </row>
    <row r="106" spans="1:12" x14ac:dyDescent="0.3">
      <c r="A106" s="4" t="s">
        <v>92</v>
      </c>
      <c r="B106" s="4" t="s">
        <v>20</v>
      </c>
      <c r="C106" s="4" t="s">
        <v>42</v>
      </c>
      <c r="D106" s="4" t="s">
        <v>238</v>
      </c>
      <c r="E106" t="str">
        <f>VLOOKUP("npm_"&amp;A106&amp;"_"&amp;B106&amp;"_"&amp;C106&amp;"_"&amp;D106,'results'!$A:$H,8,FALSE)</f>
        <v>malicious_resolved</v>
      </c>
      <c r="F106" t="str">
        <f>VLOOKUP("pip_"&amp;A106&amp;"_"&amp;B106&amp;"_"&amp;C106&amp;"_"&amp;D106,'results'!$A:$H,8,FALSE)</f>
        <v>malicious_resolved</v>
      </c>
      <c r="G106" t="str">
        <f>VLOOKUP("mvn_"&amp;A106&amp;"_"&amp;B106&amp;"_"&amp;C106&amp;"_"&amp;D106,'results'!$A:$H,8,FALSE)</f>
        <v>invalid_configuration</v>
      </c>
      <c r="H106" t="str">
        <f t="shared" si="5"/>
        <v>agree</v>
      </c>
      <c r="I106" t="str">
        <f t="shared" si="6"/>
        <v/>
      </c>
      <c r="J106">
        <f t="shared" si="7"/>
        <v>2</v>
      </c>
      <c r="K106">
        <f t="shared" si="8"/>
        <v>2</v>
      </c>
      <c r="L106" t="str">
        <f t="shared" si="9"/>
        <v>all compromised</v>
      </c>
    </row>
    <row r="107" spans="1:12" x14ac:dyDescent="0.3">
      <c r="A107" s="5" t="s">
        <v>92</v>
      </c>
      <c r="B107" s="5" t="s">
        <v>47</v>
      </c>
      <c r="C107" s="5" t="s">
        <v>21</v>
      </c>
      <c r="D107" s="5" t="s">
        <v>238</v>
      </c>
      <c r="E107" t="str">
        <f>VLOOKUP("npm_"&amp;A107&amp;"_"&amp;B107&amp;"_"&amp;C107&amp;"_"&amp;D107,'results'!$A:$H,8,FALSE)</f>
        <v>resolution_error</v>
      </c>
      <c r="F107" t="str">
        <f>VLOOKUP("pip_"&amp;A107&amp;"_"&amp;B107&amp;"_"&amp;C107&amp;"_"&amp;D107,'results'!$A:$H,8,FALSE)</f>
        <v>private_resolved</v>
      </c>
      <c r="G107" t="str">
        <f>VLOOKUP("mvn_"&amp;A107&amp;"_"&amp;B107&amp;"_"&amp;C107&amp;"_"&amp;D107,'results'!$A:$H,8,FALSE)</f>
        <v>private_resolved</v>
      </c>
      <c r="H107" t="str">
        <f t="shared" si="5"/>
        <v>disagree</v>
      </c>
      <c r="I107" t="str">
        <f t="shared" si="6"/>
        <v>npm alone has different result</v>
      </c>
      <c r="J107">
        <f t="shared" si="7"/>
        <v>3</v>
      </c>
      <c r="K107">
        <f t="shared" si="8"/>
        <v>0</v>
      </c>
      <c r="L107" t="str">
        <f t="shared" si="9"/>
        <v>0 compromised</v>
      </c>
    </row>
    <row r="108" spans="1:12" x14ac:dyDescent="0.3">
      <c r="A108" s="4" t="s">
        <v>92</v>
      </c>
      <c r="B108" s="4" t="s">
        <v>47</v>
      </c>
      <c r="C108" s="4" t="s">
        <v>34</v>
      </c>
      <c r="D108" s="4" t="s">
        <v>238</v>
      </c>
      <c r="E108" t="str">
        <f>VLOOKUP("npm_"&amp;A108&amp;"_"&amp;B108&amp;"_"&amp;C108&amp;"_"&amp;D108,'results'!$A:$H,8,FALSE)</f>
        <v>malicious_resolved</v>
      </c>
      <c r="F108" t="str">
        <f>VLOOKUP("pip_"&amp;A108&amp;"_"&amp;B108&amp;"_"&amp;C108&amp;"_"&amp;D108,'results'!$A:$H,8,FALSE)</f>
        <v>malicious_resolved</v>
      </c>
      <c r="G108" t="str">
        <f>VLOOKUP("mvn_"&amp;A108&amp;"_"&amp;B108&amp;"_"&amp;C108&amp;"_"&amp;D108,'results'!$A:$H,8,FALSE)</f>
        <v>malicious_resolved</v>
      </c>
      <c r="H108" t="str">
        <f t="shared" si="5"/>
        <v>agree</v>
      </c>
      <c r="I108" t="str">
        <f t="shared" si="6"/>
        <v/>
      </c>
      <c r="J108">
        <f t="shared" si="7"/>
        <v>3</v>
      </c>
      <c r="K108">
        <f t="shared" si="8"/>
        <v>3</v>
      </c>
      <c r="L108" t="str">
        <f t="shared" si="9"/>
        <v>all compromised</v>
      </c>
    </row>
    <row r="109" spans="1:12" x14ac:dyDescent="0.3">
      <c r="A109" s="5" t="s">
        <v>92</v>
      </c>
      <c r="B109" s="5" t="s">
        <v>47</v>
      </c>
      <c r="C109" s="5" t="s">
        <v>42</v>
      </c>
      <c r="D109" s="5" t="s">
        <v>238</v>
      </c>
      <c r="E109" t="str">
        <f>VLOOKUP("npm_"&amp;A109&amp;"_"&amp;B109&amp;"_"&amp;C109&amp;"_"&amp;D109,'results'!$A:$H,8,FALSE)</f>
        <v>malicious_resolved</v>
      </c>
      <c r="F109" t="str">
        <f>VLOOKUP("pip_"&amp;A109&amp;"_"&amp;B109&amp;"_"&amp;C109&amp;"_"&amp;D109,'results'!$A:$H,8,FALSE)</f>
        <v>malicious_resolved</v>
      </c>
      <c r="G109" t="str">
        <f>VLOOKUP("mvn_"&amp;A109&amp;"_"&amp;B109&amp;"_"&amp;C109&amp;"_"&amp;D109,'results'!$A:$H,8,FALSE)</f>
        <v>invalid_configuration</v>
      </c>
      <c r="H109" t="str">
        <f t="shared" si="5"/>
        <v>agree</v>
      </c>
      <c r="I109" t="str">
        <f t="shared" si="6"/>
        <v/>
      </c>
      <c r="J109">
        <f t="shared" si="7"/>
        <v>2</v>
      </c>
      <c r="K109">
        <f t="shared" si="8"/>
        <v>2</v>
      </c>
      <c r="L109" t="str">
        <f t="shared" si="9"/>
        <v>all compromised</v>
      </c>
    </row>
    <row r="110" spans="1:12" x14ac:dyDescent="0.3">
      <c r="A110" s="4" t="s">
        <v>92</v>
      </c>
      <c r="B110" s="4" t="s">
        <v>64</v>
      </c>
      <c r="C110" s="4" t="s">
        <v>21</v>
      </c>
      <c r="D110" s="4" t="s">
        <v>238</v>
      </c>
      <c r="E110" t="str">
        <f>VLOOKUP("npm_"&amp;A110&amp;"_"&amp;B110&amp;"_"&amp;C110&amp;"_"&amp;D110,'results'!$A:$H,8,FALSE)</f>
        <v>resolution_error</v>
      </c>
      <c r="F110" t="str">
        <f>VLOOKUP("pip_"&amp;A110&amp;"_"&amp;B110&amp;"_"&amp;C110&amp;"_"&amp;D110,'results'!$A:$H,8,FALSE)</f>
        <v>private_resolved</v>
      </c>
      <c r="G110" t="str">
        <f>VLOOKUP("mvn_"&amp;A110&amp;"_"&amp;B110&amp;"_"&amp;C110&amp;"_"&amp;D110,'results'!$A:$H,8,FALSE)</f>
        <v>private_resolved</v>
      </c>
      <c r="H110" t="str">
        <f t="shared" si="5"/>
        <v>disagree</v>
      </c>
      <c r="I110" t="str">
        <f t="shared" si="6"/>
        <v>npm alone has different result</v>
      </c>
      <c r="J110">
        <f t="shared" si="7"/>
        <v>3</v>
      </c>
      <c r="K110">
        <f t="shared" si="8"/>
        <v>0</v>
      </c>
      <c r="L110" t="str">
        <f t="shared" si="9"/>
        <v>0 compromised</v>
      </c>
    </row>
    <row r="111" spans="1:12" x14ac:dyDescent="0.3">
      <c r="A111" s="5" t="s">
        <v>92</v>
      </c>
      <c r="B111" s="5" t="s">
        <v>64</v>
      </c>
      <c r="C111" s="5" t="s">
        <v>34</v>
      </c>
      <c r="D111" s="5" t="s">
        <v>238</v>
      </c>
      <c r="E111" t="str">
        <f>VLOOKUP("npm_"&amp;A111&amp;"_"&amp;B111&amp;"_"&amp;C111&amp;"_"&amp;D111,'results'!$A:$H,8,FALSE)</f>
        <v>malicious_resolved</v>
      </c>
      <c r="F111" t="str">
        <f>VLOOKUP("pip_"&amp;A111&amp;"_"&amp;B111&amp;"_"&amp;C111&amp;"_"&amp;D111,'results'!$A:$H,8,FALSE)</f>
        <v>malicious_resolved</v>
      </c>
      <c r="G111" t="str">
        <f>VLOOKUP("mvn_"&amp;A111&amp;"_"&amp;B111&amp;"_"&amp;C111&amp;"_"&amp;D111,'results'!$A:$H,8,FALSE)</f>
        <v>malicious_resolved</v>
      </c>
      <c r="H111" t="str">
        <f t="shared" si="5"/>
        <v>agree</v>
      </c>
      <c r="I111" t="str">
        <f t="shared" si="6"/>
        <v/>
      </c>
      <c r="J111">
        <f t="shared" si="7"/>
        <v>3</v>
      </c>
      <c r="K111">
        <f t="shared" si="8"/>
        <v>3</v>
      </c>
      <c r="L111" t="str">
        <f t="shared" si="9"/>
        <v>all compromised</v>
      </c>
    </row>
    <row r="112" spans="1:12" x14ac:dyDescent="0.3">
      <c r="A112" s="4" t="s">
        <v>92</v>
      </c>
      <c r="B112" s="4" t="s">
        <v>64</v>
      </c>
      <c r="C112" s="4" t="s">
        <v>42</v>
      </c>
      <c r="D112" s="4" t="s">
        <v>238</v>
      </c>
      <c r="E112" t="str">
        <f>VLOOKUP("npm_"&amp;A112&amp;"_"&amp;B112&amp;"_"&amp;C112&amp;"_"&amp;D112,'results'!$A:$H,8,FALSE)</f>
        <v>malicious_resolved</v>
      </c>
      <c r="F112" t="str">
        <f>VLOOKUP("pip_"&amp;A112&amp;"_"&amp;B112&amp;"_"&amp;C112&amp;"_"&amp;D112,'results'!$A:$H,8,FALSE)</f>
        <v>malicious_resolved</v>
      </c>
      <c r="G112" t="str">
        <f>VLOOKUP("mvn_"&amp;A112&amp;"_"&amp;B112&amp;"_"&amp;C112&amp;"_"&amp;D112,'results'!$A:$H,8,FALSE)</f>
        <v>invalid_configuration</v>
      </c>
      <c r="H112" t="str">
        <f t="shared" si="5"/>
        <v>agree</v>
      </c>
      <c r="I112" t="str">
        <f t="shared" si="6"/>
        <v/>
      </c>
      <c r="J112">
        <f t="shared" si="7"/>
        <v>2</v>
      </c>
      <c r="K112">
        <f t="shared" si="8"/>
        <v>2</v>
      </c>
      <c r="L112" t="str">
        <f t="shared" si="9"/>
        <v>all compromised</v>
      </c>
    </row>
    <row r="113" spans="1:12" x14ac:dyDescent="0.3">
      <c r="A113" s="5" t="s">
        <v>92</v>
      </c>
      <c r="B113" s="5" t="s">
        <v>79</v>
      </c>
      <c r="C113" s="5" t="s">
        <v>21</v>
      </c>
      <c r="D113" s="5" t="s">
        <v>238</v>
      </c>
      <c r="E113" t="str">
        <f>VLOOKUP("npm_"&amp;A113&amp;"_"&amp;B113&amp;"_"&amp;C113&amp;"_"&amp;D113,'results'!$A:$H,8,FALSE)</f>
        <v>resolution_error</v>
      </c>
      <c r="F113" t="str">
        <f>VLOOKUP("pip_"&amp;A113&amp;"_"&amp;B113&amp;"_"&amp;C113&amp;"_"&amp;D113,'results'!$A:$H,8,FALSE)</f>
        <v>resolution_error</v>
      </c>
      <c r="G113" t="str">
        <f>VLOOKUP("mvn_"&amp;A113&amp;"_"&amp;B113&amp;"_"&amp;C113&amp;"_"&amp;D113,'results'!$A:$H,8,FALSE)</f>
        <v>resolution_error</v>
      </c>
      <c r="H113" t="str">
        <f t="shared" si="5"/>
        <v>agree</v>
      </c>
      <c r="I113" t="str">
        <f t="shared" si="6"/>
        <v/>
      </c>
      <c r="J113">
        <f t="shared" si="7"/>
        <v>3</v>
      </c>
      <c r="K113">
        <f t="shared" si="8"/>
        <v>0</v>
      </c>
      <c r="L113" t="str">
        <f t="shared" si="9"/>
        <v>0 compromised</v>
      </c>
    </row>
    <row r="114" spans="1:12" x14ac:dyDescent="0.3">
      <c r="A114" s="4" t="s">
        <v>92</v>
      </c>
      <c r="B114" s="4" t="s">
        <v>79</v>
      </c>
      <c r="C114" s="4" t="s">
        <v>34</v>
      </c>
      <c r="D114" s="4" t="s">
        <v>238</v>
      </c>
      <c r="E114" t="str">
        <f>VLOOKUP("npm_"&amp;A114&amp;"_"&amp;B114&amp;"_"&amp;C114&amp;"_"&amp;D114,'results'!$A:$H,8,FALSE)</f>
        <v>malicious_resolved</v>
      </c>
      <c r="F114" t="str">
        <f>VLOOKUP("pip_"&amp;A114&amp;"_"&amp;B114&amp;"_"&amp;C114&amp;"_"&amp;D114,'results'!$A:$H,8,FALSE)</f>
        <v>resolution_error</v>
      </c>
      <c r="G114" t="str">
        <f>VLOOKUP("mvn_"&amp;A114&amp;"_"&amp;B114&amp;"_"&amp;C114&amp;"_"&amp;D114,'results'!$A:$H,8,FALSE)</f>
        <v>malicious_resolved</v>
      </c>
      <c r="H114" t="str">
        <f t="shared" si="5"/>
        <v>disagree</v>
      </c>
      <c r="I114" t="str">
        <f t="shared" si="6"/>
        <v>pip alone has different result</v>
      </c>
      <c r="J114">
        <f t="shared" si="7"/>
        <v>3</v>
      </c>
      <c r="K114">
        <f t="shared" si="8"/>
        <v>2</v>
      </c>
      <c r="L114" t="str">
        <f t="shared" si="9"/>
        <v>partly compromised</v>
      </c>
    </row>
    <row r="115" spans="1:12" x14ac:dyDescent="0.3">
      <c r="A115" s="5" t="s">
        <v>92</v>
      </c>
      <c r="B115" s="5" t="s">
        <v>79</v>
      </c>
      <c r="C115" s="5" t="s">
        <v>42</v>
      </c>
      <c r="D115" s="5" t="s">
        <v>238</v>
      </c>
      <c r="E115" t="str">
        <f>VLOOKUP("npm_"&amp;A115&amp;"_"&amp;B115&amp;"_"&amp;C115&amp;"_"&amp;D115,'results'!$A:$H,8,FALSE)</f>
        <v>malicious_resolved</v>
      </c>
      <c r="F115" t="str">
        <f>VLOOKUP("pip_"&amp;A115&amp;"_"&amp;B115&amp;"_"&amp;C115&amp;"_"&amp;D115,'results'!$A:$H,8,FALSE)</f>
        <v>resolution_error</v>
      </c>
      <c r="G115" t="str">
        <f>VLOOKUP("mvn_"&amp;A115&amp;"_"&amp;B115&amp;"_"&amp;C115&amp;"_"&amp;D115,'results'!$A:$H,8,FALSE)</f>
        <v>invalid_configuration</v>
      </c>
      <c r="H115" t="str">
        <f t="shared" si="5"/>
        <v>disagree</v>
      </c>
      <c r="I115" t="str">
        <f t="shared" si="6"/>
        <v>npm alone has different result</v>
      </c>
      <c r="J115">
        <f t="shared" si="7"/>
        <v>2</v>
      </c>
      <c r="K115">
        <f t="shared" si="8"/>
        <v>1</v>
      </c>
      <c r="L115" t="str">
        <f t="shared" si="9"/>
        <v>partly compromised</v>
      </c>
    </row>
    <row r="116" spans="1:12" x14ac:dyDescent="0.3">
      <c r="A116" s="4" t="s">
        <v>145</v>
      </c>
      <c r="B116" s="4" t="s">
        <v>20</v>
      </c>
      <c r="C116" s="4" t="s">
        <v>21</v>
      </c>
      <c r="D116" s="4" t="s">
        <v>238</v>
      </c>
      <c r="E116" t="str">
        <f>VLOOKUP("npm_"&amp;A116&amp;"_"&amp;B116&amp;"_"&amp;C116&amp;"_"&amp;D116,'results'!$A:$H,8,FALSE)</f>
        <v>private_resolved</v>
      </c>
      <c r="F116" t="str">
        <f>VLOOKUP("pip_"&amp;A116&amp;"_"&amp;B116&amp;"_"&amp;C116&amp;"_"&amp;D116,'results'!$A:$H,8,FALSE)</f>
        <v>resolution_error</v>
      </c>
      <c r="G116" t="str">
        <f>VLOOKUP("mvn_"&amp;A116&amp;"_"&amp;B116&amp;"_"&amp;C116&amp;"_"&amp;D116,'results'!$A:$H,8,FALSE)</f>
        <v>private_resolved</v>
      </c>
      <c r="H116" t="str">
        <f t="shared" si="5"/>
        <v>disagree</v>
      </c>
      <c r="I116" t="str">
        <f t="shared" si="6"/>
        <v>pip alone has different result</v>
      </c>
      <c r="J116">
        <f t="shared" si="7"/>
        <v>3</v>
      </c>
      <c r="K116">
        <f t="shared" si="8"/>
        <v>0</v>
      </c>
      <c r="L116" t="str">
        <f t="shared" si="9"/>
        <v>0 compromised</v>
      </c>
    </row>
    <row r="117" spans="1:12" x14ac:dyDescent="0.3">
      <c r="A117" s="5" t="s">
        <v>145</v>
      </c>
      <c r="B117" s="5" t="s">
        <v>20</v>
      </c>
      <c r="C117" s="5" t="s">
        <v>34</v>
      </c>
      <c r="D117" s="5" t="s">
        <v>238</v>
      </c>
      <c r="E117" t="str">
        <f>VLOOKUP("npm_"&amp;A117&amp;"_"&amp;B117&amp;"_"&amp;C117&amp;"_"&amp;D117,'results'!$A:$H,8,FALSE)</f>
        <v>private_resolved</v>
      </c>
      <c r="F117" t="str">
        <f>VLOOKUP("pip_"&amp;A117&amp;"_"&amp;B117&amp;"_"&amp;C117&amp;"_"&amp;D117,'results'!$A:$H,8,FALSE)</f>
        <v>resolution_error</v>
      </c>
      <c r="G117" t="str">
        <f>VLOOKUP("mvn_"&amp;A117&amp;"_"&amp;B117&amp;"_"&amp;C117&amp;"_"&amp;D117,'results'!$A:$H,8,FALSE)</f>
        <v>private_resolved</v>
      </c>
      <c r="H117" t="str">
        <f t="shared" si="5"/>
        <v>disagree</v>
      </c>
      <c r="I117" t="str">
        <f t="shared" si="6"/>
        <v>pip alone has different result</v>
      </c>
      <c r="J117">
        <f t="shared" si="7"/>
        <v>3</v>
      </c>
      <c r="K117">
        <f t="shared" si="8"/>
        <v>0</v>
      </c>
      <c r="L117" t="str">
        <f t="shared" si="9"/>
        <v>0 compromised</v>
      </c>
    </row>
    <row r="118" spans="1:12" x14ac:dyDescent="0.3">
      <c r="A118" s="4" t="s">
        <v>145</v>
      </c>
      <c r="B118" s="4" t="s">
        <v>20</v>
      </c>
      <c r="C118" s="4" t="s">
        <v>42</v>
      </c>
      <c r="D118" s="4" t="s">
        <v>238</v>
      </c>
      <c r="E118" t="str">
        <f>VLOOKUP("npm_"&amp;A118&amp;"_"&amp;B118&amp;"_"&amp;C118&amp;"_"&amp;D118,'results'!$A:$H,8,FALSE)</f>
        <v>private_resolved</v>
      </c>
      <c r="F118" t="str">
        <f>VLOOKUP("pip_"&amp;A118&amp;"_"&amp;B118&amp;"_"&amp;C118&amp;"_"&amp;D118,'results'!$A:$H,8,FALSE)</f>
        <v>resolution_error</v>
      </c>
      <c r="G118" t="str">
        <f>VLOOKUP("mvn_"&amp;A118&amp;"_"&amp;B118&amp;"_"&amp;C118&amp;"_"&amp;D118,'results'!$A:$H,8,FALSE)</f>
        <v>invalid_configuration</v>
      </c>
      <c r="H118" t="str">
        <f t="shared" si="5"/>
        <v>disagree</v>
      </c>
      <c r="I118" t="str">
        <f t="shared" si="6"/>
        <v>npm alone has different result</v>
      </c>
      <c r="J118">
        <f t="shared" si="7"/>
        <v>2</v>
      </c>
      <c r="K118">
        <f t="shared" si="8"/>
        <v>0</v>
      </c>
      <c r="L118" t="str">
        <f t="shared" si="9"/>
        <v>0 compromised</v>
      </c>
    </row>
    <row r="119" spans="1:12" x14ac:dyDescent="0.3">
      <c r="A119" s="5" t="s">
        <v>145</v>
      </c>
      <c r="B119" s="5" t="s">
        <v>47</v>
      </c>
      <c r="C119" s="5" t="s">
        <v>21</v>
      </c>
      <c r="D119" s="5" t="s">
        <v>238</v>
      </c>
      <c r="E119" t="str">
        <f>VLOOKUP("npm_"&amp;A119&amp;"_"&amp;B119&amp;"_"&amp;C119&amp;"_"&amp;D119,'results'!$A:$H,8,FALSE)</f>
        <v>resolution_error</v>
      </c>
      <c r="F119" t="str">
        <f>VLOOKUP("pip_"&amp;A119&amp;"_"&amp;B119&amp;"_"&amp;C119&amp;"_"&amp;D119,'results'!$A:$H,8,FALSE)</f>
        <v>private_resolved</v>
      </c>
      <c r="G119" t="str">
        <f>VLOOKUP("mvn_"&amp;A119&amp;"_"&amp;B119&amp;"_"&amp;C119&amp;"_"&amp;D119,'results'!$A:$H,8,FALSE)</f>
        <v>private_resolved</v>
      </c>
      <c r="H119" t="str">
        <f t="shared" si="5"/>
        <v>disagree</v>
      </c>
      <c r="I119" t="str">
        <f t="shared" si="6"/>
        <v>npm alone has different result</v>
      </c>
      <c r="J119">
        <f t="shared" si="7"/>
        <v>3</v>
      </c>
      <c r="K119">
        <f t="shared" si="8"/>
        <v>0</v>
      </c>
      <c r="L119" t="str">
        <f t="shared" si="9"/>
        <v>0 compromised</v>
      </c>
    </row>
    <row r="120" spans="1:12" x14ac:dyDescent="0.3">
      <c r="A120" s="4" t="s">
        <v>145</v>
      </c>
      <c r="B120" s="4" t="s">
        <v>47</v>
      </c>
      <c r="C120" s="4" t="s">
        <v>34</v>
      </c>
      <c r="D120" s="4" t="s">
        <v>238</v>
      </c>
      <c r="E120" t="str">
        <f>VLOOKUP("npm_"&amp;A120&amp;"_"&amp;B120&amp;"_"&amp;C120&amp;"_"&amp;D120,'results'!$A:$H,8,FALSE)</f>
        <v>malicious_resolved</v>
      </c>
      <c r="F120" t="str">
        <f>VLOOKUP("pip_"&amp;A120&amp;"_"&amp;B120&amp;"_"&amp;C120&amp;"_"&amp;D120,'results'!$A:$H,8,FALSE)</f>
        <v>malicious_resolved</v>
      </c>
      <c r="G120" t="str">
        <f>VLOOKUP("mvn_"&amp;A120&amp;"_"&amp;B120&amp;"_"&amp;C120&amp;"_"&amp;D120,'results'!$A:$H,8,FALSE)</f>
        <v>malicious_resolved</v>
      </c>
      <c r="H120" t="str">
        <f t="shared" si="5"/>
        <v>agree</v>
      </c>
      <c r="I120" t="str">
        <f t="shared" si="6"/>
        <v/>
      </c>
      <c r="J120">
        <f t="shared" si="7"/>
        <v>3</v>
      </c>
      <c r="K120">
        <f t="shared" si="8"/>
        <v>3</v>
      </c>
      <c r="L120" t="str">
        <f t="shared" si="9"/>
        <v>all compromised</v>
      </c>
    </row>
    <row r="121" spans="1:12" x14ac:dyDescent="0.3">
      <c r="A121" s="5" t="s">
        <v>145</v>
      </c>
      <c r="B121" s="5" t="s">
        <v>47</v>
      </c>
      <c r="C121" s="5" t="s">
        <v>42</v>
      </c>
      <c r="D121" s="5" t="s">
        <v>238</v>
      </c>
      <c r="E121" t="str">
        <f>VLOOKUP("npm_"&amp;A121&amp;"_"&amp;B121&amp;"_"&amp;C121&amp;"_"&amp;D121,'results'!$A:$H,8,FALSE)</f>
        <v>malicious_resolved</v>
      </c>
      <c r="F121" t="str">
        <f>VLOOKUP("pip_"&amp;A121&amp;"_"&amp;B121&amp;"_"&amp;C121&amp;"_"&amp;D121,'results'!$A:$H,8,FALSE)</f>
        <v>malicious_resolved</v>
      </c>
      <c r="G121" t="str">
        <f>VLOOKUP("mvn_"&amp;A121&amp;"_"&amp;B121&amp;"_"&amp;C121&amp;"_"&amp;D121,'results'!$A:$H,8,FALSE)</f>
        <v>invalid_configuration</v>
      </c>
      <c r="H121" t="str">
        <f t="shared" si="5"/>
        <v>agree</v>
      </c>
      <c r="I121" t="str">
        <f t="shared" si="6"/>
        <v/>
      </c>
      <c r="J121">
        <f t="shared" si="7"/>
        <v>2</v>
      </c>
      <c r="K121">
        <f t="shared" si="8"/>
        <v>2</v>
      </c>
      <c r="L121" t="str">
        <f t="shared" si="9"/>
        <v>all compromised</v>
      </c>
    </row>
    <row r="122" spans="1:12" x14ac:dyDescent="0.3">
      <c r="A122" s="4" t="s">
        <v>145</v>
      </c>
      <c r="B122" s="4" t="s">
        <v>64</v>
      </c>
      <c r="C122" s="4" t="s">
        <v>21</v>
      </c>
      <c r="D122" s="4" t="s">
        <v>238</v>
      </c>
      <c r="E122" t="str">
        <f>VLOOKUP("npm_"&amp;A122&amp;"_"&amp;B122&amp;"_"&amp;C122&amp;"_"&amp;D122,'results'!$A:$H,8,FALSE)</f>
        <v>resolution_error</v>
      </c>
      <c r="F122" t="str">
        <f>VLOOKUP("pip_"&amp;A122&amp;"_"&amp;B122&amp;"_"&amp;C122&amp;"_"&amp;D122,'results'!$A:$H,8,FALSE)</f>
        <v>private_resolved</v>
      </c>
      <c r="G122" t="str">
        <f>VLOOKUP("mvn_"&amp;A122&amp;"_"&amp;B122&amp;"_"&amp;C122&amp;"_"&amp;D122,'results'!$A:$H,8,FALSE)</f>
        <v>private_resolved</v>
      </c>
      <c r="H122" t="str">
        <f t="shared" si="5"/>
        <v>disagree</v>
      </c>
      <c r="I122" t="str">
        <f t="shared" si="6"/>
        <v>npm alone has different result</v>
      </c>
      <c r="J122">
        <f t="shared" si="7"/>
        <v>3</v>
      </c>
      <c r="K122">
        <f t="shared" si="8"/>
        <v>0</v>
      </c>
      <c r="L122" t="str">
        <f t="shared" si="9"/>
        <v>0 compromised</v>
      </c>
    </row>
    <row r="123" spans="1:12" x14ac:dyDescent="0.3">
      <c r="A123" s="5" t="s">
        <v>145</v>
      </c>
      <c r="B123" s="5" t="s">
        <v>64</v>
      </c>
      <c r="C123" s="5" t="s">
        <v>34</v>
      </c>
      <c r="D123" s="5" t="s">
        <v>238</v>
      </c>
      <c r="E123" t="str">
        <f>VLOOKUP("npm_"&amp;A123&amp;"_"&amp;B123&amp;"_"&amp;C123&amp;"_"&amp;D123,'results'!$A:$H,8,FALSE)</f>
        <v>malicious_resolved</v>
      </c>
      <c r="F123" t="str">
        <f>VLOOKUP("pip_"&amp;A123&amp;"_"&amp;B123&amp;"_"&amp;C123&amp;"_"&amp;D123,'results'!$A:$H,8,FALSE)</f>
        <v>malicious_resolved</v>
      </c>
      <c r="G123" t="str">
        <f>VLOOKUP("mvn_"&amp;A123&amp;"_"&amp;B123&amp;"_"&amp;C123&amp;"_"&amp;D123,'results'!$A:$H,8,FALSE)</f>
        <v>malicious_resolved</v>
      </c>
      <c r="H123" t="str">
        <f t="shared" si="5"/>
        <v>agree</v>
      </c>
      <c r="I123" t="str">
        <f t="shared" si="6"/>
        <v/>
      </c>
      <c r="J123">
        <f t="shared" si="7"/>
        <v>3</v>
      </c>
      <c r="K123">
        <f t="shared" si="8"/>
        <v>3</v>
      </c>
      <c r="L123" t="str">
        <f t="shared" si="9"/>
        <v>all compromised</v>
      </c>
    </row>
    <row r="124" spans="1:12" x14ac:dyDescent="0.3">
      <c r="A124" s="4" t="s">
        <v>145</v>
      </c>
      <c r="B124" s="4" t="s">
        <v>64</v>
      </c>
      <c r="C124" s="4" t="s">
        <v>42</v>
      </c>
      <c r="D124" s="4" t="s">
        <v>238</v>
      </c>
      <c r="E124" t="str">
        <f>VLOOKUP("npm_"&amp;A124&amp;"_"&amp;B124&amp;"_"&amp;C124&amp;"_"&amp;D124,'results'!$A:$H,8,FALSE)</f>
        <v>malicious_resolved</v>
      </c>
      <c r="F124" t="str">
        <f>VLOOKUP("pip_"&amp;A124&amp;"_"&amp;B124&amp;"_"&amp;C124&amp;"_"&amp;D124,'results'!$A:$H,8,FALSE)</f>
        <v>malicious_resolved</v>
      </c>
      <c r="G124" t="str">
        <f>VLOOKUP("mvn_"&amp;A124&amp;"_"&amp;B124&amp;"_"&amp;C124&amp;"_"&amp;D124,'results'!$A:$H,8,FALSE)</f>
        <v>invalid_configuration</v>
      </c>
      <c r="H124" t="str">
        <f t="shared" si="5"/>
        <v>agree</v>
      </c>
      <c r="I124" t="str">
        <f t="shared" si="6"/>
        <v/>
      </c>
      <c r="J124">
        <f t="shared" si="7"/>
        <v>2</v>
      </c>
      <c r="K124">
        <f t="shared" si="8"/>
        <v>2</v>
      </c>
      <c r="L124" t="str">
        <f t="shared" si="9"/>
        <v>all compromised</v>
      </c>
    </row>
    <row r="125" spans="1:12" x14ac:dyDescent="0.3">
      <c r="A125" s="5" t="s">
        <v>145</v>
      </c>
      <c r="B125" s="5" t="s">
        <v>79</v>
      </c>
      <c r="C125" s="5" t="s">
        <v>21</v>
      </c>
      <c r="D125" s="5" t="s">
        <v>238</v>
      </c>
      <c r="E125" t="str">
        <f>VLOOKUP("npm_"&amp;A125&amp;"_"&amp;B125&amp;"_"&amp;C125&amp;"_"&amp;D125,'results'!$A:$H,8,FALSE)</f>
        <v>resolution_error</v>
      </c>
      <c r="F125" t="str">
        <f>VLOOKUP("pip_"&amp;A125&amp;"_"&amp;B125&amp;"_"&amp;C125&amp;"_"&amp;D125,'results'!$A:$H,8,FALSE)</f>
        <v>resolution_error</v>
      </c>
      <c r="G125" t="str">
        <f>VLOOKUP("mvn_"&amp;A125&amp;"_"&amp;B125&amp;"_"&amp;C125&amp;"_"&amp;D125,'results'!$A:$H,8,FALSE)</f>
        <v>resolution_error</v>
      </c>
      <c r="H125" t="str">
        <f t="shared" si="5"/>
        <v>agree</v>
      </c>
      <c r="I125" t="str">
        <f t="shared" si="6"/>
        <v/>
      </c>
      <c r="J125">
        <f t="shared" si="7"/>
        <v>3</v>
      </c>
      <c r="K125">
        <f t="shared" si="8"/>
        <v>0</v>
      </c>
      <c r="L125" t="str">
        <f t="shared" si="9"/>
        <v>0 compromised</v>
      </c>
    </row>
    <row r="126" spans="1:12" x14ac:dyDescent="0.3">
      <c r="A126" s="4" t="s">
        <v>145</v>
      </c>
      <c r="B126" s="4" t="s">
        <v>79</v>
      </c>
      <c r="C126" s="4" t="s">
        <v>34</v>
      </c>
      <c r="D126" s="4" t="s">
        <v>238</v>
      </c>
      <c r="E126" t="str">
        <f>VLOOKUP("npm_"&amp;A126&amp;"_"&amp;B126&amp;"_"&amp;C126&amp;"_"&amp;D126,'results'!$A:$H,8,FALSE)</f>
        <v>malicious_resolved</v>
      </c>
      <c r="F126" t="str">
        <f>VLOOKUP("pip_"&amp;A126&amp;"_"&amp;B126&amp;"_"&amp;C126&amp;"_"&amp;D126,'results'!$A:$H,8,FALSE)</f>
        <v>resolution_error</v>
      </c>
      <c r="G126" t="str">
        <f>VLOOKUP("mvn_"&amp;A126&amp;"_"&amp;B126&amp;"_"&amp;C126&amp;"_"&amp;D126,'results'!$A:$H,8,FALSE)</f>
        <v>malicious_resolved</v>
      </c>
      <c r="H126" t="str">
        <f t="shared" si="5"/>
        <v>disagree</v>
      </c>
      <c r="I126" t="str">
        <f t="shared" si="6"/>
        <v>pip alone has different result</v>
      </c>
      <c r="J126">
        <f t="shared" si="7"/>
        <v>3</v>
      </c>
      <c r="K126">
        <f t="shared" si="8"/>
        <v>2</v>
      </c>
      <c r="L126" t="str">
        <f t="shared" si="9"/>
        <v>partly compromised</v>
      </c>
    </row>
    <row r="127" spans="1:12" x14ac:dyDescent="0.3">
      <c r="A127" s="5" t="s">
        <v>145</v>
      </c>
      <c r="B127" s="5" t="s">
        <v>79</v>
      </c>
      <c r="C127" s="5" t="s">
        <v>42</v>
      </c>
      <c r="D127" s="5" t="s">
        <v>238</v>
      </c>
      <c r="E127" t="str">
        <f>VLOOKUP("npm_"&amp;A127&amp;"_"&amp;B127&amp;"_"&amp;C127&amp;"_"&amp;D127,'results'!$A:$H,8,FALSE)</f>
        <v>malicious_resolved</v>
      </c>
      <c r="F127" t="str">
        <f>VLOOKUP("pip_"&amp;A127&amp;"_"&amp;B127&amp;"_"&amp;C127&amp;"_"&amp;D127,'results'!$A:$H,8,FALSE)</f>
        <v>resolution_error</v>
      </c>
      <c r="G127" t="str">
        <f>VLOOKUP("mvn_"&amp;A127&amp;"_"&amp;B127&amp;"_"&amp;C127&amp;"_"&amp;D127,'results'!$A:$H,8,FALSE)</f>
        <v>invalid_configuration</v>
      </c>
      <c r="H127" t="str">
        <f t="shared" si="5"/>
        <v>disagree</v>
      </c>
      <c r="I127" t="str">
        <f t="shared" si="6"/>
        <v>npm alone has different result</v>
      </c>
      <c r="J127">
        <f t="shared" si="7"/>
        <v>2</v>
      </c>
      <c r="K127">
        <f t="shared" si="8"/>
        <v>1</v>
      </c>
      <c r="L127" t="str">
        <f t="shared" si="9"/>
        <v>partly compromised</v>
      </c>
    </row>
    <row r="128" spans="1:12" x14ac:dyDescent="0.3">
      <c r="A128" s="4" t="s">
        <v>194</v>
      </c>
      <c r="B128" s="4" t="s">
        <v>20</v>
      </c>
      <c r="C128" s="4" t="s">
        <v>21</v>
      </c>
      <c r="D128" s="4" t="s">
        <v>238</v>
      </c>
      <c r="E128" t="str">
        <f>VLOOKUP("npm_"&amp;A128&amp;"_"&amp;B128&amp;"_"&amp;C128&amp;"_"&amp;D128,'results'!$A:$H,8,FALSE)</f>
        <v>private_resolved</v>
      </c>
      <c r="F128" t="str">
        <f>VLOOKUP("pip_"&amp;A128&amp;"_"&amp;B128&amp;"_"&amp;C128&amp;"_"&amp;D128,'results'!$A:$H,8,FALSE)</f>
        <v>resolution_error</v>
      </c>
      <c r="G128" t="str">
        <f>VLOOKUP("mvn_"&amp;A128&amp;"_"&amp;B128&amp;"_"&amp;C128&amp;"_"&amp;D128,'results'!$A:$H,8,FALSE)</f>
        <v>private_resolved</v>
      </c>
      <c r="H128" t="str">
        <f t="shared" si="5"/>
        <v>disagree</v>
      </c>
      <c r="I128" t="str">
        <f t="shared" si="6"/>
        <v>pip alone has different result</v>
      </c>
      <c r="J128">
        <f t="shared" si="7"/>
        <v>3</v>
      </c>
      <c r="K128">
        <f t="shared" si="8"/>
        <v>0</v>
      </c>
      <c r="L128" t="str">
        <f t="shared" si="9"/>
        <v>0 compromised</v>
      </c>
    </row>
    <row r="129" spans="1:12" x14ac:dyDescent="0.3">
      <c r="A129" s="10" t="s">
        <v>194</v>
      </c>
      <c r="B129" s="10" t="s">
        <v>20</v>
      </c>
      <c r="C129" s="10" t="s">
        <v>34</v>
      </c>
      <c r="D129" s="10" t="s">
        <v>238</v>
      </c>
      <c r="E129" t="str">
        <f>VLOOKUP("npm_"&amp;A129&amp;"_"&amp;B129&amp;"_"&amp;C129&amp;"_"&amp;D129,'results'!$A:$H,8,FALSE)</f>
        <v>private_resolved</v>
      </c>
      <c r="F129" t="str">
        <f>VLOOKUP("pip_"&amp;A129&amp;"_"&amp;B129&amp;"_"&amp;C129&amp;"_"&amp;D129,'results'!$A:$H,8,FALSE)</f>
        <v>resolution_error</v>
      </c>
      <c r="G129" t="str">
        <f>VLOOKUP("mvn_"&amp;A129&amp;"_"&amp;B129&amp;"_"&amp;C129&amp;"_"&amp;D129,'results'!$A:$H,8,FALSE)</f>
        <v>malicious_resolved</v>
      </c>
      <c r="H129" t="str">
        <f t="shared" si="5"/>
        <v>disagree</v>
      </c>
      <c r="I129" t="str">
        <f t="shared" si="6"/>
        <v>npm alone has different result</v>
      </c>
      <c r="J129">
        <f t="shared" si="7"/>
        <v>3</v>
      </c>
      <c r="K129">
        <f t="shared" si="8"/>
        <v>1</v>
      </c>
      <c r="L129" t="str">
        <f t="shared" si="9"/>
        <v>partly compromised</v>
      </c>
    </row>
    <row r="130" spans="1:12" x14ac:dyDescent="0.3">
      <c r="A130" s="4" t="s">
        <v>194</v>
      </c>
      <c r="B130" s="4" t="s">
        <v>20</v>
      </c>
      <c r="C130" s="4" t="s">
        <v>42</v>
      </c>
      <c r="D130" s="4" t="s">
        <v>238</v>
      </c>
      <c r="E130" t="str">
        <f>VLOOKUP("npm_"&amp;A130&amp;"_"&amp;B130&amp;"_"&amp;C130&amp;"_"&amp;D130,'results'!$A:$H,8,FALSE)</f>
        <v>private_resolved</v>
      </c>
      <c r="F130" t="str">
        <f>VLOOKUP("pip_"&amp;A130&amp;"_"&amp;B130&amp;"_"&amp;C130&amp;"_"&amp;D130,'results'!$A:$H,8,FALSE)</f>
        <v>resolution_error</v>
      </c>
      <c r="G130" t="str">
        <f>VLOOKUP("mvn_"&amp;A130&amp;"_"&amp;B130&amp;"_"&amp;C130&amp;"_"&amp;D130,'results'!$A:$H,8,FALSE)</f>
        <v>invalid_configuration</v>
      </c>
      <c r="H130" t="str">
        <f t="shared" si="5"/>
        <v>disagree</v>
      </c>
      <c r="I130" t="str">
        <f t="shared" si="6"/>
        <v>npm alone has different result</v>
      </c>
      <c r="J130">
        <f t="shared" si="7"/>
        <v>2</v>
      </c>
      <c r="K130">
        <f t="shared" si="8"/>
        <v>0</v>
      </c>
      <c r="L130" t="str">
        <f t="shared" si="9"/>
        <v>0 compromised</v>
      </c>
    </row>
    <row r="131" spans="1:12" x14ac:dyDescent="0.3">
      <c r="A131" s="5" t="s">
        <v>194</v>
      </c>
      <c r="B131" s="5" t="s">
        <v>47</v>
      </c>
      <c r="C131" s="5" t="s">
        <v>21</v>
      </c>
      <c r="D131" s="5" t="s">
        <v>238</v>
      </c>
      <c r="E131" t="str">
        <f>VLOOKUP("npm_"&amp;A131&amp;"_"&amp;B131&amp;"_"&amp;C131&amp;"_"&amp;D131,'results'!$A:$H,8,FALSE)</f>
        <v>resolution_error</v>
      </c>
      <c r="F131" t="str">
        <f>VLOOKUP("pip_"&amp;A131&amp;"_"&amp;B131&amp;"_"&amp;C131&amp;"_"&amp;D131,'results'!$A:$H,8,FALSE)</f>
        <v>private_resolved</v>
      </c>
      <c r="G131" t="str">
        <f>VLOOKUP("mvn_"&amp;A131&amp;"_"&amp;B131&amp;"_"&amp;C131&amp;"_"&amp;D131,'results'!$A:$H,8,FALSE)</f>
        <v>private_resolved</v>
      </c>
      <c r="H131" t="str">
        <f t="shared" ref="H131:H145" si="10">IF(COUNTIF(E131:G131,"&lt;&gt;invalid_configuration")&lt;2,"not comparable",IF(MAX(COUNTIF(E131:G131,"malicious_resolved"),COUNTIF(E131:G131,"private_resolved"),COUNTIF(E131:G131,"resolution_error"))=COUNTIF(E131:G131,"&lt;&gt;invalid_configuration"),"agree","disagree"))</f>
        <v>disagree</v>
      </c>
      <c r="I131" t="str">
        <f t="shared" ref="I131:I145" si="11">IF(H131="disagree",IF(AND(E131&lt;&gt;F131,E131&lt;&gt;G131),"npm alone has different result",IF(AND(F131&lt;&gt;E131,F131&lt;&gt;G131),"pip alone has different result",IF(AND(G131&lt;&gt;E131,G131&lt;&gt;F131),"maven alone has different result","mixed"))),"")</f>
        <v>npm alone has different result</v>
      </c>
      <c r="J131">
        <f t="shared" ref="J131:J145" si="12">COUNTIF(E131:G131,"&lt;&gt;invalid_configuration")</f>
        <v>3</v>
      </c>
      <c r="K131">
        <f t="shared" ref="K131:K145" si="13">COUNTIF(E131:G131,"malicious_resolved")</f>
        <v>0</v>
      </c>
      <c r="L131" t="str">
        <f t="shared" ref="L131:L145" si="14">IF(J131=0,"all invalid cells",IF(K131=0,"0 compromised",IF(K131=J131,"all compromised","partly compromised")))</f>
        <v>0 compromised</v>
      </c>
    </row>
    <row r="132" spans="1:12" x14ac:dyDescent="0.3">
      <c r="A132" s="4" t="s">
        <v>194</v>
      </c>
      <c r="B132" s="4" t="s">
        <v>47</v>
      </c>
      <c r="C132" s="4" t="s">
        <v>34</v>
      </c>
      <c r="D132" s="4" t="s">
        <v>238</v>
      </c>
      <c r="E132" t="str">
        <f>VLOOKUP("npm_"&amp;A132&amp;"_"&amp;B132&amp;"_"&amp;C132&amp;"_"&amp;D132,'results'!$A:$H,8,FALSE)</f>
        <v>malicious_resolved</v>
      </c>
      <c r="F132" t="str">
        <f>VLOOKUP("pip_"&amp;A132&amp;"_"&amp;B132&amp;"_"&amp;C132&amp;"_"&amp;D132,'results'!$A:$H,8,FALSE)</f>
        <v>malicious_resolved</v>
      </c>
      <c r="G132" t="str">
        <f>VLOOKUP("mvn_"&amp;A132&amp;"_"&amp;B132&amp;"_"&amp;C132&amp;"_"&amp;D132,'results'!$A:$H,8,FALSE)</f>
        <v>malicious_resolved</v>
      </c>
      <c r="H132" t="str">
        <f t="shared" si="10"/>
        <v>agree</v>
      </c>
      <c r="I132" t="str">
        <f t="shared" si="11"/>
        <v/>
      </c>
      <c r="J132">
        <f t="shared" si="12"/>
        <v>3</v>
      </c>
      <c r="K132">
        <f t="shared" si="13"/>
        <v>3</v>
      </c>
      <c r="L132" t="str">
        <f t="shared" si="14"/>
        <v>all compromised</v>
      </c>
    </row>
    <row r="133" spans="1:12" x14ac:dyDescent="0.3">
      <c r="A133" s="5" t="s">
        <v>194</v>
      </c>
      <c r="B133" s="5" t="s">
        <v>47</v>
      </c>
      <c r="C133" s="5" t="s">
        <v>42</v>
      </c>
      <c r="D133" s="5" t="s">
        <v>238</v>
      </c>
      <c r="E133" t="str">
        <f>VLOOKUP("npm_"&amp;A133&amp;"_"&amp;B133&amp;"_"&amp;C133&amp;"_"&amp;D133,'results'!$A:$H,8,FALSE)</f>
        <v>malicious_resolved</v>
      </c>
      <c r="F133" t="str">
        <f>VLOOKUP("pip_"&amp;A133&amp;"_"&amp;B133&amp;"_"&amp;C133&amp;"_"&amp;D133,'results'!$A:$H,8,FALSE)</f>
        <v>malicious_resolved</v>
      </c>
      <c r="G133" t="str">
        <f>VLOOKUP("mvn_"&amp;A133&amp;"_"&amp;B133&amp;"_"&amp;C133&amp;"_"&amp;D133,'results'!$A:$H,8,FALSE)</f>
        <v>invalid_configuration</v>
      </c>
      <c r="H133" t="str">
        <f t="shared" si="10"/>
        <v>agree</v>
      </c>
      <c r="I133" t="str">
        <f t="shared" si="11"/>
        <v/>
      </c>
      <c r="J133">
        <f t="shared" si="12"/>
        <v>2</v>
      </c>
      <c r="K133">
        <f t="shared" si="13"/>
        <v>2</v>
      </c>
      <c r="L133" t="str">
        <f t="shared" si="14"/>
        <v>all compromised</v>
      </c>
    </row>
    <row r="134" spans="1:12" x14ac:dyDescent="0.3">
      <c r="A134" s="4" t="s">
        <v>194</v>
      </c>
      <c r="B134" s="4" t="s">
        <v>79</v>
      </c>
      <c r="C134" s="4" t="s">
        <v>21</v>
      </c>
      <c r="D134" s="4" t="s">
        <v>238</v>
      </c>
      <c r="E134" t="str">
        <f>VLOOKUP("npm_"&amp;A134&amp;"_"&amp;B134&amp;"_"&amp;C134&amp;"_"&amp;D134,'results'!$A:$H,8,FALSE)</f>
        <v>resolution_error</v>
      </c>
      <c r="F134" t="str">
        <f>VLOOKUP("pip_"&amp;A134&amp;"_"&amp;B134&amp;"_"&amp;C134&amp;"_"&amp;D134,'results'!$A:$H,8,FALSE)</f>
        <v>resolution_error</v>
      </c>
      <c r="G134" t="str">
        <f>VLOOKUP("mvn_"&amp;A134&amp;"_"&amp;B134&amp;"_"&amp;C134&amp;"_"&amp;D134,'results'!$A:$H,8,FALSE)</f>
        <v>resolution_error</v>
      </c>
      <c r="H134" t="str">
        <f t="shared" si="10"/>
        <v>agree</v>
      </c>
      <c r="I134" t="str">
        <f t="shared" si="11"/>
        <v/>
      </c>
      <c r="J134">
        <f t="shared" si="12"/>
        <v>3</v>
      </c>
      <c r="K134">
        <f t="shared" si="13"/>
        <v>0</v>
      </c>
      <c r="L134" t="str">
        <f t="shared" si="14"/>
        <v>0 compromised</v>
      </c>
    </row>
    <row r="135" spans="1:12" x14ac:dyDescent="0.3">
      <c r="A135" s="5" t="s">
        <v>194</v>
      </c>
      <c r="B135" s="5" t="s">
        <v>79</v>
      </c>
      <c r="C135" s="5" t="s">
        <v>34</v>
      </c>
      <c r="D135" s="5" t="s">
        <v>238</v>
      </c>
      <c r="E135" t="str">
        <f>VLOOKUP("npm_"&amp;A135&amp;"_"&amp;B135&amp;"_"&amp;C135&amp;"_"&amp;D135,'results'!$A:$H,8,FALSE)</f>
        <v>malicious_resolved</v>
      </c>
      <c r="F135" t="str">
        <f>VLOOKUP("pip_"&amp;A135&amp;"_"&amp;B135&amp;"_"&amp;C135&amp;"_"&amp;D135,'results'!$A:$H,8,FALSE)</f>
        <v>resolution_error</v>
      </c>
      <c r="G135" t="str">
        <f>VLOOKUP("mvn_"&amp;A135&amp;"_"&amp;B135&amp;"_"&amp;C135&amp;"_"&amp;D135,'results'!$A:$H,8,FALSE)</f>
        <v>malicious_resolved</v>
      </c>
      <c r="H135" t="str">
        <f t="shared" si="10"/>
        <v>disagree</v>
      </c>
      <c r="I135" t="str">
        <f t="shared" si="11"/>
        <v>pip alone has different result</v>
      </c>
      <c r="J135">
        <f t="shared" si="12"/>
        <v>3</v>
      </c>
      <c r="K135">
        <f t="shared" si="13"/>
        <v>2</v>
      </c>
      <c r="L135" t="str">
        <f t="shared" si="14"/>
        <v>partly compromised</v>
      </c>
    </row>
    <row r="136" spans="1:12" x14ac:dyDescent="0.3">
      <c r="A136" s="4" t="s">
        <v>194</v>
      </c>
      <c r="B136" s="4" t="s">
        <v>79</v>
      </c>
      <c r="C136" s="4" t="s">
        <v>42</v>
      </c>
      <c r="D136" s="4" t="s">
        <v>238</v>
      </c>
      <c r="E136" t="str">
        <f>VLOOKUP("npm_"&amp;A136&amp;"_"&amp;B136&amp;"_"&amp;C136&amp;"_"&amp;D136,'results'!$A:$H,8,FALSE)</f>
        <v>malicious_resolved</v>
      </c>
      <c r="F136" t="str">
        <f>VLOOKUP("pip_"&amp;A136&amp;"_"&amp;B136&amp;"_"&amp;C136&amp;"_"&amp;D136,'results'!$A:$H,8,FALSE)</f>
        <v>resolution_error</v>
      </c>
      <c r="G136" t="str">
        <f>VLOOKUP("mvn_"&amp;A136&amp;"_"&amp;B136&amp;"_"&amp;C136&amp;"_"&amp;D136,'results'!$A:$H,8,FALSE)</f>
        <v>invalid_configuration</v>
      </c>
      <c r="H136" t="str">
        <f t="shared" si="10"/>
        <v>disagree</v>
      </c>
      <c r="I136" t="str">
        <f t="shared" si="11"/>
        <v>npm alone has different result</v>
      </c>
      <c r="J136">
        <f t="shared" si="12"/>
        <v>2</v>
      </c>
      <c r="K136">
        <f t="shared" si="13"/>
        <v>1</v>
      </c>
      <c r="L136" t="str">
        <f t="shared" si="14"/>
        <v>partly compromised</v>
      </c>
    </row>
    <row r="137" spans="1:12" x14ac:dyDescent="0.3">
      <c r="A137" s="5" t="s">
        <v>194</v>
      </c>
      <c r="B137" s="5" t="s">
        <v>64</v>
      </c>
      <c r="C137" s="5" t="s">
        <v>21</v>
      </c>
      <c r="D137" s="5" t="s">
        <v>22</v>
      </c>
      <c r="E137" t="str">
        <f>VLOOKUP("npm_"&amp;A137&amp;"_"&amp;B137&amp;"_"&amp;C137&amp;"_"&amp;D137,'results'!$A:$H,8,FALSE)</f>
        <v>invalid_configuration</v>
      </c>
      <c r="F137" t="str">
        <f>VLOOKUP("pip_"&amp;A137&amp;"_"&amp;B137&amp;"_"&amp;C137&amp;"_"&amp;D137,'results'!$A:$H,8,FALSE)</f>
        <v>invalid_configuration</v>
      </c>
      <c r="G137" t="str">
        <f>VLOOKUP("mvn_"&amp;A137&amp;"_"&amp;B137&amp;"_"&amp;C137&amp;"_"&amp;D137,'results'!$A:$H,8,FALSE)</f>
        <v>invalid_configuration</v>
      </c>
      <c r="H137" t="str">
        <f t="shared" si="10"/>
        <v>not comparable</v>
      </c>
      <c r="I137" t="str">
        <f t="shared" si="11"/>
        <v/>
      </c>
      <c r="J137">
        <f t="shared" si="12"/>
        <v>0</v>
      </c>
      <c r="K137">
        <f t="shared" si="13"/>
        <v>0</v>
      </c>
      <c r="L137" t="str">
        <f t="shared" si="14"/>
        <v>all invalid cells</v>
      </c>
    </row>
    <row r="138" spans="1:12" x14ac:dyDescent="0.3">
      <c r="A138" s="4" t="s">
        <v>194</v>
      </c>
      <c r="B138" s="4" t="s">
        <v>64</v>
      </c>
      <c r="C138" s="4" t="s">
        <v>21</v>
      </c>
      <c r="D138" s="4" t="s">
        <v>238</v>
      </c>
      <c r="E138" t="str">
        <f>VLOOKUP("npm_"&amp;A138&amp;"_"&amp;B138&amp;"_"&amp;C138&amp;"_"&amp;D138,'results'!$A:$H,8,FALSE)</f>
        <v>invalid_configuration</v>
      </c>
      <c r="F138" t="str">
        <f>VLOOKUP("pip_"&amp;A138&amp;"_"&amp;B138&amp;"_"&amp;C138&amp;"_"&amp;D138,'results'!$A:$H,8,FALSE)</f>
        <v>invalid_configuration</v>
      </c>
      <c r="G138" t="str">
        <f>VLOOKUP("mvn_"&amp;A138&amp;"_"&amp;B138&amp;"_"&amp;C138&amp;"_"&amp;D138,'results'!$A:$H,8,FALSE)</f>
        <v>invalid_configuration</v>
      </c>
      <c r="H138" t="str">
        <f t="shared" si="10"/>
        <v>not comparable</v>
      </c>
      <c r="I138" t="str">
        <f t="shared" si="11"/>
        <v/>
      </c>
      <c r="J138">
        <f t="shared" si="12"/>
        <v>0</v>
      </c>
      <c r="K138">
        <f t="shared" si="13"/>
        <v>0</v>
      </c>
      <c r="L138" t="str">
        <f t="shared" si="14"/>
        <v>all invalid cells</v>
      </c>
    </row>
    <row r="139" spans="1:12" x14ac:dyDescent="0.3">
      <c r="A139" s="5" t="s">
        <v>194</v>
      </c>
      <c r="B139" s="5" t="s">
        <v>64</v>
      </c>
      <c r="C139" s="5" t="s">
        <v>21</v>
      </c>
      <c r="D139" s="5" t="s">
        <v>31</v>
      </c>
      <c r="E139" t="str">
        <f>VLOOKUP("npm_"&amp;A139&amp;"_"&amp;B139&amp;"_"&amp;C139&amp;"_"&amp;D139,'results'!$A:$H,8,FALSE)</f>
        <v>invalid_configuration</v>
      </c>
      <c r="F139" t="str">
        <f>VLOOKUP("pip_"&amp;A139&amp;"_"&amp;B139&amp;"_"&amp;C139&amp;"_"&amp;D139,'results'!$A:$H,8,FALSE)</f>
        <v>invalid_configuration</v>
      </c>
      <c r="G139" t="str">
        <f>VLOOKUP("mvn_"&amp;A139&amp;"_"&amp;B139&amp;"_"&amp;C139&amp;"_"&amp;D139,'results'!$A:$H,8,FALSE)</f>
        <v>invalid_configuration</v>
      </c>
      <c r="H139" t="str">
        <f t="shared" si="10"/>
        <v>not comparable</v>
      </c>
      <c r="I139" t="str">
        <f t="shared" si="11"/>
        <v/>
      </c>
      <c r="J139">
        <f t="shared" si="12"/>
        <v>0</v>
      </c>
      <c r="K139">
        <f t="shared" si="13"/>
        <v>0</v>
      </c>
      <c r="L139" t="str">
        <f t="shared" si="14"/>
        <v>all invalid cells</v>
      </c>
    </row>
    <row r="140" spans="1:12" x14ac:dyDescent="0.3">
      <c r="A140" s="4" t="s">
        <v>194</v>
      </c>
      <c r="B140" s="4" t="s">
        <v>64</v>
      </c>
      <c r="C140" s="4" t="s">
        <v>34</v>
      </c>
      <c r="D140" s="4" t="s">
        <v>22</v>
      </c>
      <c r="E140" t="str">
        <f>VLOOKUP("npm_"&amp;A140&amp;"_"&amp;B140&amp;"_"&amp;C140&amp;"_"&amp;D140,'results'!$A:$H,8,FALSE)</f>
        <v>invalid_configuration</v>
      </c>
      <c r="F140" t="str">
        <f>VLOOKUP("pip_"&amp;A140&amp;"_"&amp;B140&amp;"_"&amp;C140&amp;"_"&amp;D140,'results'!$A:$H,8,FALSE)</f>
        <v>invalid_configuration</v>
      </c>
      <c r="G140" t="str">
        <f>VLOOKUP("mvn_"&amp;A140&amp;"_"&amp;B140&amp;"_"&amp;C140&amp;"_"&amp;D140,'results'!$A:$H,8,FALSE)</f>
        <v>invalid_configuration</v>
      </c>
      <c r="H140" t="str">
        <f t="shared" si="10"/>
        <v>not comparable</v>
      </c>
      <c r="I140" t="str">
        <f t="shared" si="11"/>
        <v/>
      </c>
      <c r="J140">
        <f t="shared" si="12"/>
        <v>0</v>
      </c>
      <c r="K140">
        <f t="shared" si="13"/>
        <v>0</v>
      </c>
      <c r="L140" t="str">
        <f t="shared" si="14"/>
        <v>all invalid cells</v>
      </c>
    </row>
    <row r="141" spans="1:12" x14ac:dyDescent="0.3">
      <c r="A141" s="5" t="s">
        <v>194</v>
      </c>
      <c r="B141" s="5" t="s">
        <v>64</v>
      </c>
      <c r="C141" s="5" t="s">
        <v>34</v>
      </c>
      <c r="D141" s="5" t="s">
        <v>238</v>
      </c>
      <c r="E141" t="str">
        <f>VLOOKUP("npm_"&amp;A141&amp;"_"&amp;B141&amp;"_"&amp;C141&amp;"_"&amp;D141,'results'!$A:$H,8,FALSE)</f>
        <v>invalid_configuration</v>
      </c>
      <c r="F141" t="str">
        <f>VLOOKUP("pip_"&amp;A141&amp;"_"&amp;B141&amp;"_"&amp;C141&amp;"_"&amp;D141,'results'!$A:$H,8,FALSE)</f>
        <v>invalid_configuration</v>
      </c>
      <c r="G141" t="str">
        <f>VLOOKUP("mvn_"&amp;A141&amp;"_"&amp;B141&amp;"_"&amp;C141&amp;"_"&amp;D141,'results'!$A:$H,8,FALSE)</f>
        <v>invalid_configuration</v>
      </c>
      <c r="H141" t="str">
        <f t="shared" si="10"/>
        <v>not comparable</v>
      </c>
      <c r="I141" t="str">
        <f t="shared" si="11"/>
        <v/>
      </c>
      <c r="J141">
        <f t="shared" si="12"/>
        <v>0</v>
      </c>
      <c r="K141">
        <f t="shared" si="13"/>
        <v>0</v>
      </c>
      <c r="L141" t="str">
        <f t="shared" si="14"/>
        <v>all invalid cells</v>
      </c>
    </row>
    <row r="142" spans="1:12" x14ac:dyDescent="0.3">
      <c r="A142" s="4" t="s">
        <v>194</v>
      </c>
      <c r="B142" s="4" t="s">
        <v>64</v>
      </c>
      <c r="C142" s="4" t="s">
        <v>34</v>
      </c>
      <c r="D142" s="4" t="s">
        <v>31</v>
      </c>
      <c r="E142" t="str">
        <f>VLOOKUP("npm_"&amp;A142&amp;"_"&amp;B142&amp;"_"&amp;C142&amp;"_"&amp;D142,'results'!$A:$H,8,FALSE)</f>
        <v>invalid_configuration</v>
      </c>
      <c r="F142" t="str">
        <f>VLOOKUP("pip_"&amp;A142&amp;"_"&amp;B142&amp;"_"&amp;C142&amp;"_"&amp;D142,'results'!$A:$H,8,FALSE)</f>
        <v>invalid_configuration</v>
      </c>
      <c r="G142" t="str">
        <f>VLOOKUP("mvn_"&amp;A142&amp;"_"&amp;B142&amp;"_"&amp;C142&amp;"_"&amp;D142,'results'!$A:$H,8,FALSE)</f>
        <v>invalid_configuration</v>
      </c>
      <c r="H142" t="str">
        <f t="shared" si="10"/>
        <v>not comparable</v>
      </c>
      <c r="I142" t="str">
        <f t="shared" si="11"/>
        <v/>
      </c>
      <c r="J142">
        <f t="shared" si="12"/>
        <v>0</v>
      </c>
      <c r="K142">
        <f t="shared" si="13"/>
        <v>0</v>
      </c>
      <c r="L142" t="str">
        <f t="shared" si="14"/>
        <v>all invalid cells</v>
      </c>
    </row>
    <row r="143" spans="1:12" x14ac:dyDescent="0.3">
      <c r="A143" s="5" t="s">
        <v>194</v>
      </c>
      <c r="B143" s="5" t="s">
        <v>64</v>
      </c>
      <c r="C143" s="5" t="s">
        <v>42</v>
      </c>
      <c r="D143" s="5" t="s">
        <v>22</v>
      </c>
      <c r="E143" t="str">
        <f>VLOOKUP("npm_"&amp;A143&amp;"_"&amp;B143&amp;"_"&amp;C143&amp;"_"&amp;D143,'results'!$A:$H,8,FALSE)</f>
        <v>invalid_configuration</v>
      </c>
      <c r="F143" t="str">
        <f>VLOOKUP("pip_"&amp;A143&amp;"_"&amp;B143&amp;"_"&amp;C143&amp;"_"&amp;D143,'results'!$A:$H,8,FALSE)</f>
        <v>invalid_configuration</v>
      </c>
      <c r="G143" t="str">
        <f>VLOOKUP("mvn_"&amp;A143&amp;"_"&amp;B143&amp;"_"&amp;C143&amp;"_"&amp;D143,'results'!$A:$H,8,FALSE)</f>
        <v>invalid_configuration</v>
      </c>
      <c r="H143" t="str">
        <f t="shared" si="10"/>
        <v>not comparable</v>
      </c>
      <c r="I143" t="str">
        <f t="shared" si="11"/>
        <v/>
      </c>
      <c r="J143">
        <f t="shared" si="12"/>
        <v>0</v>
      </c>
      <c r="K143">
        <f t="shared" si="13"/>
        <v>0</v>
      </c>
      <c r="L143" t="str">
        <f t="shared" si="14"/>
        <v>all invalid cells</v>
      </c>
    </row>
    <row r="144" spans="1:12" x14ac:dyDescent="0.3">
      <c r="A144" s="4" t="s">
        <v>194</v>
      </c>
      <c r="B144" s="4" t="s">
        <v>64</v>
      </c>
      <c r="C144" s="4" t="s">
        <v>42</v>
      </c>
      <c r="D144" s="4" t="s">
        <v>238</v>
      </c>
      <c r="E144" t="str">
        <f>VLOOKUP("npm_"&amp;A144&amp;"_"&amp;B144&amp;"_"&amp;C144&amp;"_"&amp;D144,'results'!$A:$H,8,FALSE)</f>
        <v>invalid_configuration</v>
      </c>
      <c r="F144" t="str">
        <f>VLOOKUP("pip_"&amp;A144&amp;"_"&amp;B144&amp;"_"&amp;C144&amp;"_"&amp;D144,'results'!$A:$H,8,FALSE)</f>
        <v>invalid_configuration</v>
      </c>
      <c r="G144" t="str">
        <f>VLOOKUP("mvn_"&amp;A144&amp;"_"&amp;B144&amp;"_"&amp;C144&amp;"_"&amp;D144,'results'!$A:$H,8,FALSE)</f>
        <v>invalid_configuration</v>
      </c>
      <c r="H144" t="str">
        <f t="shared" si="10"/>
        <v>not comparable</v>
      </c>
      <c r="I144" t="str">
        <f t="shared" si="11"/>
        <v/>
      </c>
      <c r="J144">
        <f t="shared" si="12"/>
        <v>0</v>
      </c>
      <c r="K144">
        <f t="shared" si="13"/>
        <v>0</v>
      </c>
      <c r="L144" t="str">
        <f t="shared" si="14"/>
        <v>all invalid cells</v>
      </c>
    </row>
    <row r="145" spans="1:12" x14ac:dyDescent="0.3">
      <c r="A145" s="5" t="s">
        <v>194</v>
      </c>
      <c r="B145" s="5" t="s">
        <v>64</v>
      </c>
      <c r="C145" s="5" t="s">
        <v>42</v>
      </c>
      <c r="D145" s="5" t="s">
        <v>31</v>
      </c>
      <c r="E145" t="str">
        <f>VLOOKUP("npm_"&amp;A145&amp;"_"&amp;B145&amp;"_"&amp;C145&amp;"_"&amp;D145,'results'!$A:$H,8,FALSE)</f>
        <v>invalid_configuration</v>
      </c>
      <c r="F145" t="str">
        <f>VLOOKUP("pip_"&amp;A145&amp;"_"&amp;B145&amp;"_"&amp;C145&amp;"_"&amp;D145,'results'!$A:$H,8,FALSE)</f>
        <v>invalid_configuration</v>
      </c>
      <c r="G145" t="str">
        <f>VLOOKUP("mvn_"&amp;A145&amp;"_"&amp;B145&amp;"_"&amp;C145&amp;"_"&amp;D145,'results'!$A:$H,8,FALSE)</f>
        <v>invalid_configuration</v>
      </c>
      <c r="H145" t="str">
        <f t="shared" si="10"/>
        <v>not comparable</v>
      </c>
      <c r="I145" t="str">
        <f t="shared" si="11"/>
        <v/>
      </c>
      <c r="J145">
        <f t="shared" si="12"/>
        <v>0</v>
      </c>
      <c r="K145">
        <f t="shared" si="13"/>
        <v>0</v>
      </c>
      <c r="L145" t="str">
        <f t="shared" si="14"/>
        <v>all invalid cells</v>
      </c>
    </row>
  </sheetData>
  <autoFilter ref="A1:R145" xr:uid="{4249C603-D76A-4D75-8999-A8343558CAF2}"/>
  <conditionalFormatting sqref="E2:G145">
    <cfRule type="containsText" dxfId="10" priority="5" operator="containsText" text="invalid">
      <formula>NOT(ISERROR(SEARCH("invalid",E2)))</formula>
    </cfRule>
    <cfRule type="containsText" dxfId="9" priority="6" operator="containsText" text="malicious_resolved">
      <formula>NOT(ISERROR(SEARCH("malicious_resolved",E2)))</formula>
    </cfRule>
    <cfRule type="containsText" dxfId="8" priority="7" operator="containsText" text="resolution_error">
      <formula>NOT(ISERROR(SEARCH("resolution_error",E2)))</formula>
    </cfRule>
    <cfRule type="containsText" dxfId="7" priority="8" operator="containsText" text="private_resolve">
      <formula>NOT(ISERROR(SEARCH("private_resolve",E2)))</formula>
    </cfRule>
  </conditionalFormatting>
  <conditionalFormatting sqref="I1:M1 H1:H1048576">
    <cfRule type="cellIs" dxfId="6" priority="9" operator="equal">
      <formula>"not comparable"</formula>
    </cfRule>
    <cfRule type="cellIs" dxfId="5" priority="10" operator="equal">
      <formula>"disagree"</formula>
    </cfRule>
    <cfRule type="cellIs" dxfId="4" priority="11" operator="equal">
      <formula>"agree"</formula>
    </cfRule>
  </conditionalFormatting>
  <conditionalFormatting sqref="L2:L145">
    <cfRule type="cellIs" dxfId="3" priority="1" operator="equal">
      <formula>"all invalid cells"</formula>
    </cfRule>
    <cfRule type="cellIs" dxfId="2" priority="2" operator="equal">
      <formula>"partly compromised"</formula>
    </cfRule>
    <cfRule type="cellIs" dxfId="1" priority="3" operator="equal">
      <formula>"0 compromised"</formula>
    </cfRule>
    <cfRule type="cellIs" dxfId="0" priority="4" operator="equal">
      <formula>"all compromised"</formula>
    </cfRule>
  </conditionalFormatting>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4014E-55C5-4700-B774-708A16FF9083}">
  <dimension ref="A1:B5"/>
  <sheetViews>
    <sheetView zoomScale="175" zoomScaleNormal="175" workbookViewId="0">
      <selection activeCell="C6" sqref="C6"/>
    </sheetView>
  </sheetViews>
  <sheetFormatPr baseColWidth="10" defaultRowHeight="14.4" x14ac:dyDescent="0.3"/>
  <sheetData>
    <row r="1" spans="1:2" x14ac:dyDescent="0.3">
      <c r="A1" t="s">
        <v>906</v>
      </c>
    </row>
    <row r="2" spans="1:2" x14ac:dyDescent="0.3">
      <c r="A2" t="s">
        <v>907</v>
      </c>
      <c r="B2" t="s">
        <v>913</v>
      </c>
    </row>
    <row r="3" spans="1:2" x14ac:dyDescent="0.3">
      <c r="A3" t="s">
        <v>908</v>
      </c>
      <c r="B3" s="12" t="s">
        <v>910</v>
      </c>
    </row>
    <row r="4" spans="1:2" x14ac:dyDescent="0.3">
      <c r="A4" t="s">
        <v>909</v>
      </c>
      <c r="B4" s="12" t="s">
        <v>910</v>
      </c>
    </row>
    <row r="5" spans="1:2" x14ac:dyDescent="0.3">
      <c r="A5" t="s">
        <v>911</v>
      </c>
      <c r="B5" t="s">
        <v>912</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C6E9176-EB81-4C12-86AE-C8F90849B7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results</vt:lpstr>
      <vt:lpstr>FigureC</vt:lpstr>
      <vt:lpstr>step9</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Huang, Xueting</dc:creator>
  <cp:lastModifiedBy>Huang, Xueting</cp:lastModifiedBy>
  <dcterms:created xsi:type="dcterms:W3CDTF">2026-09-08T09:25:07Z</dcterms:created>
  <dcterms:modified xsi:type="dcterms:W3CDTF">2026-10-08T10:02:55Z</dcterms:modified>
</cp:coreProperties>
</file>